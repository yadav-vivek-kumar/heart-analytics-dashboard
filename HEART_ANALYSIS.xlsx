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5391F5763F451F7/文档/"/>
    </mc:Choice>
  </mc:AlternateContent>
  <xr:revisionPtr revIDLastSave="549" documentId="8_{82E23187-1DD5-489F-A02D-EF221A9D22CC}" xr6:coauthVersionLast="47" xr6:coauthVersionMax="47" xr10:uidLastSave="{ADF595A8-5E43-42A5-AE06-C5F3F758D725}"/>
  <bookViews>
    <workbookView xWindow="-120" yWindow="-120" windowWidth="29040" windowHeight="15720" activeTab="7" xr2:uid="{B7D2F327-1B8B-4975-BB2B-FA0879E610DD}"/>
  </bookViews>
  <sheets>
    <sheet name="README" sheetId="1" r:id="rId1"/>
    <sheet name="Raw_Data" sheetId="2" r:id="rId2"/>
    <sheet name="ux_matrix" sheetId="3" r:id="rId3"/>
    <sheet name="NPS_ANALYSIS" sheetId="4" r:id="rId4"/>
    <sheet name="Sus_analysis" sheetId="5" r:id="rId5"/>
    <sheet name="CES_TTFV" sheetId="6" r:id="rId6"/>
    <sheet name="Task_analysis" sheetId="7" r:id="rId7"/>
    <sheet name="Corelation" sheetId="8" r:id="rId8"/>
  </sheets>
  <definedNames>
    <definedName name="_xlnm._FilterDatabase" localSheetId="1" hidden="1">Raw_Data!$A$1:$V$101</definedName>
    <definedName name="_xlnm._FilterDatabase" localSheetId="2" hidden="1">ux_matrix!$A$1:$AG$101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8" l="1"/>
  <c r="K10" i="8"/>
  <c r="K9" i="8"/>
  <c r="K8" i="8"/>
  <c r="K7" i="8"/>
  <c r="K6" i="8"/>
  <c r="K5" i="8"/>
  <c r="K4" i="8"/>
  <c r="K3" i="8"/>
  <c r="K2" i="8"/>
  <c r="J11" i="8"/>
  <c r="J10" i="8"/>
  <c r="J9" i="8"/>
  <c r="J8" i="8"/>
  <c r="J7" i="8"/>
  <c r="J6" i="8"/>
  <c r="J5" i="8"/>
  <c r="J4" i="8"/>
  <c r="J3" i="8"/>
  <c r="J2" i="8"/>
  <c r="I11" i="8"/>
  <c r="I10" i="8"/>
  <c r="I9" i="8"/>
  <c r="I8" i="8"/>
  <c r="I7" i="8"/>
  <c r="I6" i="8"/>
  <c r="I5" i="8"/>
  <c r="I4" i="8"/>
  <c r="I3" i="8"/>
  <c r="I2" i="8"/>
  <c r="H11" i="8"/>
  <c r="H10" i="8"/>
  <c r="H9" i="8"/>
  <c r="H8" i="8"/>
  <c r="H7" i="8"/>
  <c r="H6" i="8"/>
  <c r="H5" i="8"/>
  <c r="H4" i="8"/>
  <c r="H3" i="8"/>
  <c r="H2" i="8"/>
  <c r="G11" i="8"/>
  <c r="G10" i="8"/>
  <c r="G9" i="8"/>
  <c r="G8" i="8"/>
  <c r="G7" i="8"/>
  <c r="G6" i="8"/>
  <c r="G5" i="8"/>
  <c r="G4" i="8"/>
  <c r="G3" i="8"/>
  <c r="G2" i="8"/>
  <c r="F11" i="8"/>
  <c r="F10" i="8"/>
  <c r="F9" i="8"/>
  <c r="F8" i="8"/>
  <c r="F7" i="8"/>
  <c r="F6" i="8"/>
  <c r="F5" i="8"/>
  <c r="F4" i="8"/>
  <c r="F3" i="8"/>
  <c r="F2" i="8"/>
  <c r="E11" i="8"/>
  <c r="E10" i="8"/>
  <c r="E9" i="8"/>
  <c r="E8" i="8"/>
  <c r="E7" i="8"/>
  <c r="E6" i="8"/>
  <c r="E5" i="8"/>
  <c r="E4" i="8"/>
  <c r="E3" i="8"/>
  <c r="E2" i="8"/>
  <c r="D11" i="8"/>
  <c r="D10" i="8"/>
  <c r="D9" i="8"/>
  <c r="D8" i="8"/>
  <c r="D7" i="8"/>
  <c r="D6" i="8"/>
  <c r="D5" i="8"/>
  <c r="D4" i="8"/>
  <c r="D3" i="8"/>
  <c r="D2" i="8"/>
  <c r="C11" i="8"/>
  <c r="C10" i="8"/>
  <c r="C9" i="8"/>
  <c r="C8" i="8"/>
  <c r="C7" i="8"/>
  <c r="C6" i="8"/>
  <c r="C5" i="8"/>
  <c r="C4" i="8"/>
  <c r="C3" i="8"/>
  <c r="C2" i="8"/>
  <c r="B11" i="8"/>
  <c r="B10" i="8"/>
  <c r="B9" i="8"/>
  <c r="B8" i="8"/>
  <c r="B7" i="8"/>
  <c r="B6" i="8"/>
  <c r="B5" i="8"/>
  <c r="B4" i="8"/>
  <c r="B3" i="8"/>
  <c r="B2" i="8"/>
  <c r="B7" i="7"/>
  <c r="B6" i="7"/>
  <c r="B5" i="7"/>
  <c r="B4" i="7"/>
  <c r="B3" i="7"/>
  <c r="B2" i="7"/>
  <c r="B5" i="6"/>
  <c r="B2" i="6"/>
  <c r="B4" i="6"/>
  <c r="B3" i="6"/>
  <c r="D3" i="4"/>
  <c r="D4" i="4"/>
  <c r="D2" i="4"/>
  <c r="C4" i="4"/>
  <c r="C3" i="4"/>
  <c r="C2" i="4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2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79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2" i="3"/>
  <c r="AB101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2" i="3"/>
  <c r="V3" i="3"/>
  <c r="W3" i="3"/>
  <c r="V4" i="3"/>
  <c r="W4" i="3"/>
  <c r="V5" i="3"/>
  <c r="W5" i="3"/>
  <c r="V6" i="3"/>
  <c r="W6" i="3"/>
  <c r="V7" i="3"/>
  <c r="W7" i="3"/>
  <c r="V8" i="3"/>
  <c r="W8" i="3"/>
  <c r="V9" i="3"/>
  <c r="W9" i="3"/>
  <c r="V10" i="3"/>
  <c r="W10" i="3"/>
  <c r="V11" i="3"/>
  <c r="W11" i="3"/>
  <c r="V12" i="3"/>
  <c r="W12" i="3"/>
  <c r="V13" i="3"/>
  <c r="W13" i="3"/>
  <c r="V14" i="3"/>
  <c r="W14" i="3"/>
  <c r="V15" i="3"/>
  <c r="W15" i="3"/>
  <c r="V16" i="3"/>
  <c r="W16" i="3"/>
  <c r="V17" i="3"/>
  <c r="W17" i="3"/>
  <c r="V18" i="3"/>
  <c r="W18" i="3"/>
  <c r="V19" i="3"/>
  <c r="W19" i="3"/>
  <c r="V20" i="3"/>
  <c r="W20" i="3"/>
  <c r="V21" i="3"/>
  <c r="W21" i="3"/>
  <c r="V22" i="3"/>
  <c r="W22" i="3"/>
  <c r="V23" i="3"/>
  <c r="W23" i="3"/>
  <c r="V24" i="3"/>
  <c r="W24" i="3"/>
  <c r="V25" i="3"/>
  <c r="W25" i="3"/>
  <c r="V26" i="3"/>
  <c r="W26" i="3"/>
  <c r="V27" i="3"/>
  <c r="W27" i="3"/>
  <c r="V28" i="3"/>
  <c r="W28" i="3"/>
  <c r="V29" i="3"/>
  <c r="W29" i="3"/>
  <c r="V30" i="3"/>
  <c r="W30" i="3"/>
  <c r="V31" i="3"/>
  <c r="W31" i="3"/>
  <c r="V32" i="3"/>
  <c r="W32" i="3"/>
  <c r="V33" i="3"/>
  <c r="W33" i="3"/>
  <c r="V34" i="3"/>
  <c r="W34" i="3"/>
  <c r="V35" i="3"/>
  <c r="W35" i="3"/>
  <c r="V36" i="3"/>
  <c r="W36" i="3"/>
  <c r="V37" i="3"/>
  <c r="W37" i="3"/>
  <c r="V38" i="3"/>
  <c r="W38" i="3"/>
  <c r="V39" i="3"/>
  <c r="W39" i="3"/>
  <c r="V40" i="3"/>
  <c r="W40" i="3"/>
  <c r="V41" i="3"/>
  <c r="W41" i="3"/>
  <c r="V42" i="3"/>
  <c r="W42" i="3"/>
  <c r="V43" i="3"/>
  <c r="W43" i="3"/>
  <c r="V44" i="3"/>
  <c r="W44" i="3"/>
  <c r="V45" i="3"/>
  <c r="W45" i="3"/>
  <c r="V46" i="3"/>
  <c r="W46" i="3"/>
  <c r="V47" i="3"/>
  <c r="W47" i="3"/>
  <c r="V48" i="3"/>
  <c r="W48" i="3"/>
  <c r="V49" i="3"/>
  <c r="W49" i="3"/>
  <c r="V50" i="3"/>
  <c r="W50" i="3"/>
  <c r="V51" i="3"/>
  <c r="W51" i="3"/>
  <c r="V52" i="3"/>
  <c r="W52" i="3"/>
  <c r="V53" i="3"/>
  <c r="W53" i="3"/>
  <c r="V54" i="3"/>
  <c r="W54" i="3"/>
  <c r="V55" i="3"/>
  <c r="W55" i="3"/>
  <c r="V56" i="3"/>
  <c r="W56" i="3"/>
  <c r="V57" i="3"/>
  <c r="W57" i="3"/>
  <c r="V58" i="3"/>
  <c r="W58" i="3"/>
  <c r="V59" i="3"/>
  <c r="W59" i="3"/>
  <c r="V60" i="3"/>
  <c r="W60" i="3"/>
  <c r="V61" i="3"/>
  <c r="W61" i="3"/>
  <c r="V62" i="3"/>
  <c r="W62" i="3"/>
  <c r="V63" i="3"/>
  <c r="W63" i="3"/>
  <c r="V64" i="3"/>
  <c r="W64" i="3"/>
  <c r="V65" i="3"/>
  <c r="W65" i="3"/>
  <c r="V66" i="3"/>
  <c r="W66" i="3"/>
  <c r="V67" i="3"/>
  <c r="W67" i="3"/>
  <c r="V68" i="3"/>
  <c r="W68" i="3"/>
  <c r="V69" i="3"/>
  <c r="W69" i="3"/>
  <c r="V70" i="3"/>
  <c r="W70" i="3"/>
  <c r="V71" i="3"/>
  <c r="W71" i="3"/>
  <c r="V72" i="3"/>
  <c r="W72" i="3"/>
  <c r="V73" i="3"/>
  <c r="W73" i="3"/>
  <c r="V74" i="3"/>
  <c r="W74" i="3"/>
  <c r="V75" i="3"/>
  <c r="W75" i="3"/>
  <c r="V76" i="3"/>
  <c r="W76" i="3"/>
  <c r="V77" i="3"/>
  <c r="W77" i="3"/>
  <c r="V78" i="3"/>
  <c r="W78" i="3"/>
  <c r="V79" i="3"/>
  <c r="W79" i="3"/>
  <c r="V80" i="3"/>
  <c r="W80" i="3"/>
  <c r="V81" i="3"/>
  <c r="W81" i="3"/>
  <c r="V82" i="3"/>
  <c r="W82" i="3"/>
  <c r="V83" i="3"/>
  <c r="W83" i="3"/>
  <c r="V84" i="3"/>
  <c r="W84" i="3"/>
  <c r="V85" i="3"/>
  <c r="W85" i="3"/>
  <c r="V86" i="3"/>
  <c r="W86" i="3"/>
  <c r="V87" i="3"/>
  <c r="W87" i="3"/>
  <c r="V88" i="3"/>
  <c r="W88" i="3"/>
  <c r="V89" i="3"/>
  <c r="W89" i="3"/>
  <c r="V90" i="3"/>
  <c r="W90" i="3"/>
  <c r="V91" i="3"/>
  <c r="W91" i="3"/>
  <c r="V92" i="3"/>
  <c r="W92" i="3"/>
  <c r="V93" i="3"/>
  <c r="W93" i="3"/>
  <c r="V94" i="3"/>
  <c r="W94" i="3"/>
  <c r="V95" i="3"/>
  <c r="W95" i="3"/>
  <c r="V96" i="3"/>
  <c r="W96" i="3"/>
  <c r="V97" i="3"/>
  <c r="W97" i="3"/>
  <c r="V98" i="3"/>
  <c r="W98" i="3"/>
  <c r="V99" i="3"/>
  <c r="W99" i="3"/>
  <c r="V100" i="3"/>
  <c r="W100" i="3"/>
  <c r="V101" i="3"/>
  <c r="W101" i="3"/>
  <c r="V2" i="3"/>
  <c r="W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2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2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2" i="3"/>
</calcChain>
</file>

<file path=xl/sharedStrings.xml><?xml version="1.0" encoding="utf-8"?>
<sst xmlns="http://schemas.openxmlformats.org/spreadsheetml/2006/main" count="468" uniqueCount="223">
  <si>
    <t>UX &amp; Behavioural Data Analytics Workbook</t>
  </si>
  <si>
    <t>Purpose</t>
  </si>
  <si>
    <t>Complete practical workbook from RAW UX data to final UX/HEART analysis.</t>
  </si>
  <si>
    <t>Case Study</t>
  </si>
  <si>
    <t>Online Learning / E-Learning Application</t>
  </si>
  <si>
    <t>Dataset Size</t>
  </si>
  <si>
    <t>100 users</t>
  </si>
  <si>
    <t>Core workflow</t>
  </si>
  <si>
    <t>RAW DATA → Cleaning/Validation → UX Metrics → HEART → Risk → Correlation → Dashboard → Recommendations</t>
  </si>
  <si>
    <t>Included topics</t>
  </si>
  <si>
    <t>NPS, CSAT, SUS, CES, TTFV, Task Error Rate, Happiness, Engagement, Adoption, Retention, Task Success</t>
  </si>
  <si>
    <t>Important concept</t>
  </si>
  <si>
    <t>The Raw_Data sheet contains observations collected from users. UX_Metrics calculates the derived measures.</t>
  </si>
  <si>
    <t>NPS</t>
  </si>
  <si>
    <t>0–6 Detractors, 7–8 Passives, 9–10 Promoters; NPS = %Promoters − %Detractors.</t>
  </si>
  <si>
    <t>CSAT</t>
  </si>
  <si>
    <t>Average satisfaction on 1–5 scale and % satisfied where CSAT &gt;= 4.</t>
  </si>
  <si>
    <t>SUS</t>
  </si>
  <si>
    <t>10-question usability scale. Odd questions: response−1. Even questions: 5−response. Sum × 2.5 = 0–100.</t>
  </si>
  <si>
    <t>CES</t>
  </si>
  <si>
    <t>1–7 effort scale. Lower score means less effort / better experience.</t>
  </si>
  <si>
    <t>TTFV</t>
  </si>
  <si>
    <t>Minutes from signup to first meaningful value.</t>
  </si>
  <si>
    <t>Task Error Rate</t>
  </si>
  <si>
    <t>Total errors ÷ total task attempts × 100.</t>
  </si>
  <si>
    <t>Happiness</t>
  </si>
  <si>
    <t>Use NPS, CSAT and SUS.</t>
  </si>
  <si>
    <t>Engagement</t>
  </si>
  <si>
    <t>Use sessions/user and an example engaged flag of Sessions &gt;= 6.</t>
  </si>
  <si>
    <t>Adoption</t>
  </si>
  <si>
    <t>Core Action = 1 means user completed the first/core product action.</t>
  </si>
  <si>
    <t>Retention</t>
  </si>
  <si>
    <t>Day7_Return = 1 means the user returned within 7 days.</t>
  </si>
  <si>
    <t>Task Success</t>
  </si>
  <si>
    <t>Task_Completed = 1 means the task was successfully completed.</t>
  </si>
  <si>
    <t>Risk</t>
  </si>
  <si>
    <t>Teaching rule: risk points for low SUS, high CES, high TTFV, high errors, low sessions, failed core action, no Day-7 return, or failed task.</t>
  </si>
  <si>
    <t>How to use</t>
  </si>
  <si>
    <t>Start with Raw_Data. Inspect Data_Dictionary. Study formulas in UX_Metrics. Then read HEART_Summary, User_Risk and Dashboard.</t>
  </si>
  <si>
    <t>Student task</t>
  </si>
  <si>
    <t>Change raw data values and observe how the formulas, summary metrics and dashboard update in Excel.</t>
  </si>
  <si>
    <t>User_ID</t>
  </si>
  <si>
    <t>NPS_Response</t>
  </si>
  <si>
    <t>CSAT_Response</t>
  </si>
  <si>
    <t>SUS_Q1</t>
  </si>
  <si>
    <t>SUS_Q2</t>
  </si>
  <si>
    <t>SUS_Q3</t>
  </si>
  <si>
    <t>SUS_Q4</t>
  </si>
  <si>
    <t>SUS_Q5</t>
  </si>
  <si>
    <t>SUS_Q6</t>
  </si>
  <si>
    <t>SUS_Q7</t>
  </si>
  <si>
    <t>SUS_Q8</t>
  </si>
  <si>
    <t>SUS_Q9</t>
  </si>
  <si>
    <t>SUS_Q10</t>
  </si>
  <si>
    <t>CES_Response</t>
  </si>
  <si>
    <t>Signup_Time</t>
  </si>
  <si>
    <t>First_Value_Time</t>
  </si>
  <si>
    <t>Task_Attempts</t>
  </si>
  <si>
    <t>Errors</t>
  </si>
  <si>
    <t>Sessions</t>
  </si>
  <si>
    <t>Core_Action</t>
  </si>
  <si>
    <t>Day7_Return</t>
  </si>
  <si>
    <t>Task_Completed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</si>
  <si>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</si>
  <si>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</si>
  <si>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</si>
  <si>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</si>
  <si>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</si>
  <si>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</si>
  <si>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</si>
  <si>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</si>
  <si>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</si>
  <si>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</si>
  <si>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</si>
  <si>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</si>
  <si>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</si>
  <si>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</si>
  <si>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</si>
  <si>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</si>
  <si>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</si>
  <si>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</si>
  <si>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</si>
  <si>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</si>
  <si>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</si>
  <si>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</si>
  <si>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</si>
  <si>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</si>
  <si>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</si>
  <si>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</si>
  <si>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</si>
  <si>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</si>
  <si>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</si>
  <si>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</si>
  <si>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</si>
  <si>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</si>
  <si>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</si>
  <si>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</si>
  <si>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</si>
  <si>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</si>
  <si>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</si>
  <si>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</si>
  <si>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</si>
  <si>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</si>
  <si>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</si>
  <si>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</si>
  <si>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</si>
  <si>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</si>
  <si>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</si>
  <si>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</si>
  <si>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</si>
  <si>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</si>
  <si>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</si>
  <si>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</si>
  <si>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</si>
  <si>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</si>
  <si>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</si>
  <si>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</si>
  <si>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</si>
  <si>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</si>
  <si>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</si>
  <si>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</si>
  <si>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</si>
  <si>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</si>
  <si>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</si>
  <si>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</si>
  <si>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</si>
  <si>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</si>
  <si>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</si>
  <si>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</si>
  <si>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</si>
  <si>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</si>
  <si>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</si>
  <si>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</si>
  <si>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</si>
  <si>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</si>
  <si>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</si>
  <si>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</si>
  <si>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</si>
  <si>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</si>
  <si>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</si>
  <si>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</si>
  <si>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</si>
  <si>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</si>
  <si>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</si>
  <si>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</si>
  <si>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</si>
  <si>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</si>
  <si>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</si>
  <si>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</si>
  <si>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</si>
  <si>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</si>
  <si>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</si>
  <si>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</si>
  <si>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</si>
  <si>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</si>
  <si>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</si>
  <si>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</si>
  <si>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</si>
  <si>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</si>
  <si>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</si>
  <si>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</si>
  <si>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</si>
  <si>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</si>
  <si>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nps_category</t>
  </si>
  <si>
    <t>csat_category</t>
  </si>
  <si>
    <t>sus_score</t>
  </si>
  <si>
    <t>sus_category</t>
  </si>
  <si>
    <t>CES_Category</t>
  </si>
  <si>
    <t>TTFV_min</t>
  </si>
  <si>
    <t>CATEGORY</t>
  </si>
  <si>
    <t>User_Error_Rate</t>
  </si>
  <si>
    <t>Eng_flag</t>
  </si>
  <si>
    <t>Adoptation_Flag</t>
  </si>
  <si>
    <t>Retention_Flag</t>
  </si>
  <si>
    <t>Task_Complition_Flag</t>
  </si>
  <si>
    <t>Ux_Risk_Points</t>
  </si>
  <si>
    <t>Ux_Risk_level</t>
  </si>
  <si>
    <t>NPS Category</t>
  </si>
  <si>
    <t>Score Range</t>
  </si>
  <si>
    <t>User</t>
  </si>
  <si>
    <t>Percentage</t>
  </si>
  <si>
    <t>Meaning</t>
  </si>
  <si>
    <t>Promoters</t>
  </si>
  <si>
    <t>Passives</t>
  </si>
  <si>
    <t>Detractors</t>
  </si>
  <si>
    <t>9-10</t>
  </si>
  <si>
    <t>7-8</t>
  </si>
  <si>
    <t>0-6</t>
  </si>
  <si>
    <t>Category</t>
  </si>
  <si>
    <t>Metric</t>
  </si>
  <si>
    <t>Average</t>
  </si>
  <si>
    <t>Good target</t>
  </si>
  <si>
    <t>Interpretation</t>
  </si>
  <si>
    <t>TTFV(Minutes)</t>
  </si>
  <si>
    <t>low-effor users</t>
  </si>
  <si>
    <t>Fast TTFV users</t>
  </si>
  <si>
    <t>&lt;=3</t>
  </si>
  <si>
    <t>&lt;=5</t>
  </si>
  <si>
    <t>&gt;=70%</t>
  </si>
  <si>
    <t>Lower effort is better</t>
  </si>
  <si>
    <t>Faster value is better</t>
  </si>
  <si>
    <t>Users reporting low effort</t>
  </si>
  <si>
    <t>Users reaching value in &lt;= 5min</t>
  </si>
  <si>
    <t>STRONG</t>
  </si>
  <si>
    <t>NEUTRAL</t>
  </si>
  <si>
    <t>UNHAPPY</t>
  </si>
  <si>
    <t>Task Metric</t>
  </si>
  <si>
    <t>Value</t>
  </si>
  <si>
    <t>Formula/Definition</t>
  </si>
  <si>
    <t>Total Task Attempts</t>
  </si>
  <si>
    <t>Total Errors</t>
  </si>
  <si>
    <t>Overall Task Error Rate</t>
  </si>
  <si>
    <t>Task Success Rate</t>
  </si>
  <si>
    <t>Average Attempts/User</t>
  </si>
  <si>
    <t>Average Errors/Users</t>
  </si>
  <si>
    <t>Sum of Attempts</t>
  </si>
  <si>
    <t>Sum of Erros</t>
  </si>
  <si>
    <t>Total Errors/Total Attempts x 100</t>
  </si>
  <si>
    <t>Completed tasks/users x 100</t>
  </si>
  <si>
    <t>Average attempts</t>
  </si>
  <si>
    <t>Average errors</t>
  </si>
  <si>
    <t>Variables</t>
  </si>
  <si>
    <t>Erros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</si>
</sst>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1110F"/>
      </patternFill>
    </fill>
    <fill>
      <patternFill patternType="solid">
        <fgColor rgb="FFFFF2B3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4C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3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4" borderId="0" xfId="0" applyFill="1"/>
    <xf numFmtId="49" fontId="0" fillId="4" borderId="0" xfId="0" applyNumberFormat="1" applyFill="1"/>
    <xf numFmtId="49" fontId="0" fillId="0" borderId="0" xfId="0" applyNumberFormat="1"/>
    <xf numFmtId="2" fontId="0" fillId="0" borderId="0" xfId="0" applyNumberFormat="1"/>
    <xf numFmtId="0" fontId="0" fillId="5" borderId="0" xfId="0" applyFill="1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NPS_ANALYSIS!$C$1</c:f>
              <c:strCache>
                <c:ptCount val="1"/>
                <c:pt idx="0">
                  <c:v>User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AA-4230-B0A1-48025DCB0A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AA-4230-B0A1-48025DCB0A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AA-4230-B0A1-48025DCB0AAA}"/>
              </c:ext>
            </c:extLst>
          </c:dPt>
          <c:cat>
            <c:multiLvlStrRef>
              <c:f>NPS_ANALYSIS!$A$2:$B$4</c:f>
              <c:multiLvlStrCache>
                <c:ptCount val="3"/>
                <c:lvl>
                  <c:pt idx="0">
                    <c:v>9-10</c:v>
                  </c:pt>
                  <c:pt idx="1">
                    <c:v>7-8</c:v>
                  </c:pt>
                  <c:pt idx="2">
                    <c:v>0-6</c:v>
                  </c:pt>
                </c:lvl>
                <c:lvl>
                  <c:pt idx="0">
                    <c:v>Promoters</c:v>
                  </c:pt>
                  <c:pt idx="1">
                    <c:v>Passives</c:v>
                  </c:pt>
                  <c:pt idx="2">
                    <c:v>Detractors</c:v>
                  </c:pt>
                </c:lvl>
              </c:multiLvlStrCache>
            </c:multiLvlStrRef>
          </c:cat>
          <c:val>
            <c:numRef>
              <c:f>NPS_ANALYSIS!$C$2:$C$4</c:f>
              <c:numCache>
                <c:formatCode>General</c:formatCode>
                <c:ptCount val="3"/>
                <c:pt idx="0">
                  <c:v>16</c:v>
                </c:pt>
                <c:pt idx="1">
                  <c:v>33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D-4E75-87CA-3D7B2C4C9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Task_analysis!$A$4</c:f>
              <c:strCache>
                <c:ptCount val="1"/>
                <c:pt idx="0">
                  <c:v>Overall Task Error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Task_analysis!$B$4</c:f>
              <c:numCache>
                <c:formatCode>General</c:formatCode>
                <c:ptCount val="1"/>
                <c:pt idx="0">
                  <c:v>26.427061310782239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0-4DE2-9875-B010438AE0BE}"/>
            </c:ext>
          </c:extLst>
        </c:ser>
        <c:ser>
          <c:idx val="1"/>
          <c:order val="1"/>
          <c:tx>
            <c:strRef>
              <c:f>Task_analysis!$A$5</c:f>
              <c:strCache>
                <c:ptCount val="1"/>
                <c:pt idx="0">
                  <c:v>Task Success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Task_analysis!$B$5</c:f>
              <c:numCache>
                <c:formatCode>General</c:formatCode>
                <c:ptCount val="1"/>
                <c:pt idx="0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0-4DE2-9875-B010438AE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9982336"/>
        <c:axId val="1879973712"/>
      </c:barChart>
      <c:catAx>
        <c:axId val="202998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973712"/>
        <c:crosses val="autoZero"/>
        <c:auto val="1"/>
        <c:lblAlgn val="ctr"/>
        <c:lblOffset val="100"/>
        <c:noMultiLvlLbl val="0"/>
      </c:catAx>
      <c:valAx>
        <c:axId val="187997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98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10</xdr:row>
      <xdr:rowOff>52387</xdr:rowOff>
    </xdr:from>
    <xdr:to>
      <xdr:col>17</xdr:col>
      <xdr:colOff>295275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A47E5-989A-A97A-58C5-A74299EF5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10</xdr:row>
      <xdr:rowOff>52387</xdr:rowOff>
    </xdr:from>
    <xdr:to>
      <xdr:col>13</xdr:col>
      <xdr:colOff>133350</xdr:colOff>
      <xdr:row>24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BA9E7D-9F7C-D967-9934-360CD0504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00CA-8CEB-45CF-9599-218C519F219C}">
  <sheetPr>
    <pageSetUpPr fitToPage="1"/>
  </sheetPr>
  <dimension ref="A1:B21"/>
  <sheetViews>
    <sheetView zoomScale="97" workbookViewId="0">
      <pane ySplit="1" topLeftCell="A7" activePane="bottomLeft" state="frozen"/>
      <selection sqref="A1:B1"/>
      <selection pane="bottomLeft" activeCell="B11" sqref="B11"/>
    </sheetView>
  </sheetViews>
  <sheetFormatPr defaultColWidth="8.875" defaultRowHeight="18" x14ac:dyDescent="0.2"/>
  <cols>
    <col min="1" max="1" width="22.328125" style="5" bestFit="1" customWidth="1"/>
    <col min="2" max="2" width="99.6796875" style="5" bestFit="1" customWidth="1"/>
    <col min="3" max="16384" width="8.875" style="5"/>
  </cols>
  <sheetData>
    <row r="1" spans="1:2" x14ac:dyDescent="0.2">
      <c r="A1" s="14" t="s">
        <v>0</v>
      </c>
      <c r="B1" s="15"/>
    </row>
    <row r="2" spans="1:2" x14ac:dyDescent="0.2">
      <c r="A2" s="6" t="s">
        <v>1</v>
      </c>
      <c r="B2" s="4" t="s">
        <v>2</v>
      </c>
    </row>
    <row r="3" spans="1:2" x14ac:dyDescent="0.2">
      <c r="A3" s="6" t="s">
        <v>3</v>
      </c>
      <c r="B3" s="4" t="s">
        <v>4</v>
      </c>
    </row>
    <row r="4" spans="1:2" x14ac:dyDescent="0.2">
      <c r="A4" s="6" t="s">
        <v>5</v>
      </c>
      <c r="B4" s="4" t="s">
        <v>6</v>
      </c>
    </row>
    <row r="5" spans="1:2" ht="31.5" x14ac:dyDescent="0.2">
      <c r="A5" s="6" t="s">
        <v>7</v>
      </c>
      <c r="B5" s="4" t="s">
        <v>8</v>
      </c>
    </row>
    <row r="6" spans="1:2" ht="31.5" x14ac:dyDescent="0.2">
      <c r="A6" s="6" t="s">
        <v>9</v>
      </c>
      <c r="B6" s="4" t="s">
        <v>10</v>
      </c>
    </row>
    <row r="7" spans="1:2" ht="31.5" x14ac:dyDescent="0.2">
      <c r="A7" s="6" t="s">
        <v>11</v>
      </c>
      <c r="B7" s="4" t="s">
        <v>12</v>
      </c>
    </row>
    <row r="8" spans="1:2" x14ac:dyDescent="0.2">
      <c r="A8" s="6" t="s">
        <v>13</v>
      </c>
      <c r="B8" s="4" t="s">
        <v>14</v>
      </c>
    </row>
    <row r="9" spans="1:2" x14ac:dyDescent="0.2">
      <c r="A9" s="6" t="s">
        <v>15</v>
      </c>
      <c r="B9" s="4" t="s">
        <v>16</v>
      </c>
    </row>
    <row r="10" spans="1:2" ht="31.5" x14ac:dyDescent="0.2">
      <c r="A10" s="6" t="s">
        <v>17</v>
      </c>
      <c r="B10" s="4" t="s">
        <v>18</v>
      </c>
    </row>
    <row r="11" spans="1:2" x14ac:dyDescent="0.2">
      <c r="A11" s="6" t="s">
        <v>19</v>
      </c>
      <c r="B11" s="4" t="s">
        <v>20</v>
      </c>
    </row>
    <row r="12" spans="1:2" x14ac:dyDescent="0.2">
      <c r="A12" s="6" t="s">
        <v>21</v>
      </c>
      <c r="B12" s="4" t="s">
        <v>22</v>
      </c>
    </row>
    <row r="13" spans="1:2" x14ac:dyDescent="0.2">
      <c r="A13" s="6" t="s">
        <v>23</v>
      </c>
      <c r="B13" s="4" t="s">
        <v>24</v>
      </c>
    </row>
    <row r="14" spans="1:2" x14ac:dyDescent="0.2">
      <c r="A14" s="6" t="s">
        <v>25</v>
      </c>
      <c r="B14" s="4" t="s">
        <v>26</v>
      </c>
    </row>
    <row r="15" spans="1:2" x14ac:dyDescent="0.2">
      <c r="A15" s="6" t="s">
        <v>27</v>
      </c>
      <c r="B15" s="4" t="s">
        <v>28</v>
      </c>
    </row>
    <row r="16" spans="1:2" x14ac:dyDescent="0.2">
      <c r="A16" s="6" t="s">
        <v>29</v>
      </c>
      <c r="B16" s="4" t="s">
        <v>30</v>
      </c>
    </row>
    <row r="17" spans="1:2" x14ac:dyDescent="0.2">
      <c r="A17" s="6" t="s">
        <v>31</v>
      </c>
      <c r="B17" s="4" t="s">
        <v>32</v>
      </c>
    </row>
    <row r="18" spans="1:2" x14ac:dyDescent="0.2">
      <c r="A18" s="6" t="s">
        <v>33</v>
      </c>
      <c r="B18" s="4" t="s">
        <v>34</v>
      </c>
    </row>
    <row r="19" spans="1:2" ht="31.5" x14ac:dyDescent="0.2">
      <c r="A19" s="6" t="s">
        <v>35</v>
      </c>
      <c r="B19" s="4" t="s">
        <v>36</v>
      </c>
    </row>
    <row r="20" spans="1:2" ht="31.5" x14ac:dyDescent="0.2">
      <c r="A20" s="6" t="s">
        <v>37</v>
      </c>
      <c r="B20" s="4" t="s">
        <v>38</v>
      </c>
    </row>
    <row r="21" spans="1:2" ht="31.5" x14ac:dyDescent="0.2">
      <c r="A21" s="6" t="s">
        <v>39</v>
      </c>
      <c r="B21" s="4" t="s">
        <v>40</v>
      </c>
    </row>
  </sheetData>
  <mergeCells count="1">
    <mergeCell ref="A1:B1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37E7-306F-45FE-B9D6-C4CACE93F528}">
  <sheetPr>
    <pageSetUpPr fitToPage="1"/>
  </sheetPr>
  <dimension ref="A1:V101"/>
  <sheetViews>
    <sheetView topLeftCell="C1" workbookViewId="0">
      <pane ySplit="1" topLeftCell="C2" activePane="bottomLeft" state="frozen"/>
      <selection sqref="A1:B1"/>
      <selection pane="bottomLeft" activeCell="S1" sqref="S1"/>
    </sheetView>
  </sheetViews>
  <sheetFormatPr defaultRowHeight="15" x14ac:dyDescent="0.2"/>
  <cols>
    <col min="1" max="1" width="12.5078125" bestFit="1" customWidth="1"/>
    <col min="2" max="2" width="18.83203125" bestFit="1" customWidth="1"/>
    <col min="3" max="3" width="19.7734375" bestFit="1" customWidth="1"/>
    <col min="4" max="12" width="12.375" bestFit="1" customWidth="1"/>
    <col min="13" max="13" width="13.44921875" bestFit="1" customWidth="1"/>
    <col min="14" max="14" width="18.4296875" bestFit="1" customWidth="1"/>
    <col min="15" max="15" width="16.94921875" bestFit="1" customWidth="1"/>
    <col min="16" max="16" width="21.1171875" bestFit="1" customWidth="1"/>
    <col min="17" max="17" width="18.83203125" bestFit="1" customWidth="1"/>
    <col min="18" max="18" width="10.76171875" bestFit="1" customWidth="1"/>
    <col min="19" max="19" width="13.1796875" bestFit="1" customWidth="1"/>
    <col min="20" max="20" width="16.41015625" bestFit="1" customWidth="1"/>
    <col min="21" max="21" width="16.8125" bestFit="1" customWidth="1"/>
    <col min="22" max="22" width="20.4453125" bestFit="1" customWidth="1"/>
  </cols>
  <sheetData>
    <row r="1" spans="1:22" ht="22.15" customHeight="1" x14ac:dyDescent="0.2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  <c r="T1" s="2" t="s">
        <v>60</v>
      </c>
      <c r="U1" s="2" t="s">
        <v>61</v>
      </c>
      <c r="V1" s="2" t="s">
        <v>62</v>
      </c>
    </row>
    <row r="2" spans="1:22" ht="22.15" customHeight="1" x14ac:dyDescent="0.2">
      <c r="A2" s="1" t="s">
        <v>63</v>
      </c>
      <c r="B2" s="1">
        <v>7</v>
      </c>
      <c r="C2" s="1">
        <v>4</v>
      </c>
      <c r="D2" s="1">
        <v>3</v>
      </c>
      <c r="E2" s="1">
        <v>2</v>
      </c>
      <c r="F2" s="1">
        <v>3</v>
      </c>
      <c r="G2" s="1">
        <v>3</v>
      </c>
      <c r="H2" s="1">
        <v>3</v>
      </c>
      <c r="I2" s="1">
        <v>3</v>
      </c>
      <c r="J2" s="1">
        <v>3</v>
      </c>
      <c r="K2" s="1">
        <v>4</v>
      </c>
      <c r="L2" s="1">
        <v>4</v>
      </c>
      <c r="M2" s="1">
        <v>3</v>
      </c>
      <c r="N2" s="1">
        <v>4</v>
      </c>
      <c r="O2" s="3">
        <v>46224.68472222222</v>
      </c>
      <c r="P2" s="3">
        <v>46224.691666666673</v>
      </c>
      <c r="Q2" s="1">
        <v>6</v>
      </c>
      <c r="R2" s="1">
        <v>2</v>
      </c>
      <c r="S2" s="1">
        <v>8</v>
      </c>
      <c r="T2" s="1">
        <v>1</v>
      </c>
      <c r="U2" s="1">
        <v>1</v>
      </c>
      <c r="V2" s="1">
        <v>0</v>
      </c>
    </row>
    <row r="3" spans="1:22" ht="22.15" customHeight="1" x14ac:dyDescent="0.2">
      <c r="A3" s="1" t="s">
        <v>64</v>
      </c>
      <c r="B3" s="1">
        <v>5</v>
      </c>
      <c r="C3" s="1">
        <v>3</v>
      </c>
      <c r="D3" s="1">
        <v>2</v>
      </c>
      <c r="E3" s="1">
        <v>4</v>
      </c>
      <c r="F3" s="1">
        <v>3</v>
      </c>
      <c r="G3" s="1">
        <v>2</v>
      </c>
      <c r="H3" s="1">
        <v>3</v>
      </c>
      <c r="I3" s="1">
        <v>2</v>
      </c>
      <c r="J3" s="1">
        <v>2</v>
      </c>
      <c r="K3" s="1">
        <v>2</v>
      </c>
      <c r="L3" s="1">
        <v>3</v>
      </c>
      <c r="M3" s="1">
        <v>3</v>
      </c>
      <c r="N3" s="1">
        <v>4</v>
      </c>
      <c r="O3" s="3">
        <v>46213.412499999999</v>
      </c>
      <c r="P3" s="3">
        <v>46213.419444444437</v>
      </c>
      <c r="Q3" s="1">
        <v>5</v>
      </c>
      <c r="R3" s="1">
        <v>1</v>
      </c>
      <c r="S3" s="1">
        <v>7</v>
      </c>
      <c r="T3" s="1">
        <v>1</v>
      </c>
      <c r="U3" s="1">
        <v>0</v>
      </c>
      <c r="V3" s="1">
        <v>1</v>
      </c>
    </row>
    <row r="4" spans="1:22" ht="22.15" customHeight="1" x14ac:dyDescent="0.2">
      <c r="A4" s="1" t="s">
        <v>65</v>
      </c>
      <c r="B4" s="1">
        <v>6</v>
      </c>
      <c r="C4" s="1">
        <v>3</v>
      </c>
      <c r="D4" s="1">
        <v>1</v>
      </c>
      <c r="E4" s="1">
        <v>4</v>
      </c>
      <c r="F4" s="1">
        <v>2</v>
      </c>
      <c r="G4" s="1">
        <v>2</v>
      </c>
      <c r="H4" s="1">
        <v>2</v>
      </c>
      <c r="I4" s="1">
        <v>2</v>
      </c>
      <c r="J4" s="1">
        <v>3</v>
      </c>
      <c r="K4" s="1">
        <v>2</v>
      </c>
      <c r="L4" s="1">
        <v>3</v>
      </c>
      <c r="M4" s="1">
        <v>3</v>
      </c>
      <c r="N4" s="1">
        <v>4</v>
      </c>
      <c r="O4" s="3">
        <v>46212.384027777778</v>
      </c>
      <c r="P4" s="3">
        <v>46212.393750000003</v>
      </c>
      <c r="Q4" s="1">
        <v>4</v>
      </c>
      <c r="R4" s="1">
        <v>1</v>
      </c>
      <c r="S4" s="1">
        <v>4</v>
      </c>
      <c r="T4" s="1">
        <v>1</v>
      </c>
      <c r="U4" s="1">
        <v>0</v>
      </c>
      <c r="V4" s="1">
        <v>1</v>
      </c>
    </row>
    <row r="5" spans="1:22" ht="22.15" customHeight="1" x14ac:dyDescent="0.2">
      <c r="A5" s="1" t="s">
        <v>66</v>
      </c>
      <c r="B5" s="1">
        <v>6</v>
      </c>
      <c r="C5" s="1">
        <v>3</v>
      </c>
      <c r="D5" s="1">
        <v>3</v>
      </c>
      <c r="E5" s="1">
        <v>3</v>
      </c>
      <c r="F5" s="1">
        <v>3</v>
      </c>
      <c r="G5" s="1">
        <v>2</v>
      </c>
      <c r="H5" s="1">
        <v>3</v>
      </c>
      <c r="I5" s="1">
        <v>3</v>
      </c>
      <c r="J5" s="1">
        <v>3</v>
      </c>
      <c r="K5" s="1">
        <v>3</v>
      </c>
      <c r="L5" s="1">
        <v>4</v>
      </c>
      <c r="M5" s="1">
        <v>2</v>
      </c>
      <c r="N5" s="1">
        <v>4</v>
      </c>
      <c r="O5" s="3">
        <v>46223.647916666669</v>
      </c>
      <c r="P5" s="3">
        <v>46223.654166666667</v>
      </c>
      <c r="Q5" s="1">
        <v>5</v>
      </c>
      <c r="R5" s="1">
        <v>1</v>
      </c>
      <c r="S5" s="1">
        <v>8</v>
      </c>
      <c r="T5" s="1">
        <v>1</v>
      </c>
      <c r="U5" s="1">
        <v>1</v>
      </c>
      <c r="V5" s="1">
        <v>1</v>
      </c>
    </row>
    <row r="6" spans="1:22" ht="22.15" customHeight="1" x14ac:dyDescent="0.2">
      <c r="A6" s="1" t="s">
        <v>67</v>
      </c>
      <c r="B6" s="1">
        <v>7</v>
      </c>
      <c r="C6" s="1">
        <v>4</v>
      </c>
      <c r="D6" s="1">
        <v>4</v>
      </c>
      <c r="E6" s="1">
        <v>3</v>
      </c>
      <c r="F6" s="1">
        <v>3</v>
      </c>
      <c r="G6" s="1">
        <v>3</v>
      </c>
      <c r="H6" s="1">
        <v>2</v>
      </c>
      <c r="I6" s="1">
        <v>2</v>
      </c>
      <c r="J6" s="1">
        <v>3</v>
      </c>
      <c r="K6" s="1">
        <v>3</v>
      </c>
      <c r="L6" s="1">
        <v>3</v>
      </c>
      <c r="M6" s="1">
        <v>4</v>
      </c>
      <c r="N6" s="1">
        <v>3</v>
      </c>
      <c r="O6" s="3">
        <v>46228.706944444442</v>
      </c>
      <c r="P6" s="3">
        <v>46228.715277777781</v>
      </c>
      <c r="Q6" s="1">
        <v>4</v>
      </c>
      <c r="R6" s="1">
        <v>1</v>
      </c>
      <c r="S6" s="1">
        <v>6</v>
      </c>
      <c r="T6" s="1">
        <v>0</v>
      </c>
      <c r="U6" s="1">
        <v>0</v>
      </c>
      <c r="V6" s="1">
        <v>1</v>
      </c>
    </row>
    <row r="7" spans="1:22" ht="22.15" customHeight="1" x14ac:dyDescent="0.2">
      <c r="A7" s="1" t="s">
        <v>68</v>
      </c>
      <c r="B7" s="1">
        <v>7</v>
      </c>
      <c r="C7" s="1">
        <v>4</v>
      </c>
      <c r="D7" s="1">
        <v>2</v>
      </c>
      <c r="E7" s="1">
        <v>4</v>
      </c>
      <c r="F7" s="1">
        <v>4</v>
      </c>
      <c r="G7" s="1">
        <v>3</v>
      </c>
      <c r="H7" s="1">
        <v>3</v>
      </c>
      <c r="I7" s="1">
        <v>4</v>
      </c>
      <c r="J7" s="1">
        <v>3</v>
      </c>
      <c r="K7" s="1">
        <v>4</v>
      </c>
      <c r="L7" s="1">
        <v>4</v>
      </c>
      <c r="M7" s="1">
        <v>3</v>
      </c>
      <c r="N7" s="1">
        <v>4</v>
      </c>
      <c r="O7" s="3">
        <v>46213.612500000003</v>
      </c>
      <c r="P7" s="3">
        <v>46213.616666666669</v>
      </c>
      <c r="Q7" s="1">
        <v>3</v>
      </c>
      <c r="R7" s="1">
        <v>2</v>
      </c>
      <c r="S7" s="1">
        <v>5</v>
      </c>
      <c r="T7" s="1">
        <v>1</v>
      </c>
      <c r="U7" s="1">
        <v>1</v>
      </c>
      <c r="V7" s="1">
        <v>1</v>
      </c>
    </row>
    <row r="8" spans="1:22" ht="22.15" customHeight="1" x14ac:dyDescent="0.2">
      <c r="A8" s="1" t="s">
        <v>69</v>
      </c>
      <c r="B8" s="1">
        <v>8</v>
      </c>
      <c r="C8" s="1">
        <v>3</v>
      </c>
      <c r="D8" s="1">
        <v>4</v>
      </c>
      <c r="E8" s="1">
        <v>3</v>
      </c>
      <c r="F8" s="1">
        <v>4</v>
      </c>
      <c r="G8" s="1">
        <v>3</v>
      </c>
      <c r="H8" s="1">
        <v>3</v>
      </c>
      <c r="I8" s="1">
        <v>3</v>
      </c>
      <c r="J8" s="1">
        <v>4</v>
      </c>
      <c r="K8" s="1">
        <v>4</v>
      </c>
      <c r="L8" s="1">
        <v>3</v>
      </c>
      <c r="M8" s="1">
        <v>3</v>
      </c>
      <c r="N8" s="1">
        <v>3</v>
      </c>
      <c r="O8" s="3">
        <v>46229.660416666673</v>
      </c>
      <c r="P8" s="3">
        <v>46229.665972222218</v>
      </c>
      <c r="Q8" s="1">
        <v>5</v>
      </c>
      <c r="R8" s="1">
        <v>1</v>
      </c>
      <c r="S8" s="1">
        <v>4</v>
      </c>
      <c r="T8" s="1">
        <v>1</v>
      </c>
      <c r="U8" s="1">
        <v>1</v>
      </c>
      <c r="V8" s="1">
        <v>1</v>
      </c>
    </row>
    <row r="9" spans="1:22" ht="22.15" customHeight="1" x14ac:dyDescent="0.2">
      <c r="A9" s="1" t="s">
        <v>70</v>
      </c>
      <c r="B9" s="1">
        <v>8</v>
      </c>
      <c r="C9" s="1">
        <v>4</v>
      </c>
      <c r="D9" s="1">
        <v>3</v>
      </c>
      <c r="E9" s="1">
        <v>4</v>
      </c>
      <c r="F9" s="1">
        <v>4</v>
      </c>
      <c r="G9" s="1">
        <v>3</v>
      </c>
      <c r="H9" s="1">
        <v>3</v>
      </c>
      <c r="I9" s="1">
        <v>4</v>
      </c>
      <c r="J9" s="1">
        <v>2</v>
      </c>
      <c r="K9" s="1">
        <v>4</v>
      </c>
      <c r="L9" s="1">
        <v>4</v>
      </c>
      <c r="M9" s="1">
        <v>3</v>
      </c>
      <c r="N9" s="1">
        <v>3</v>
      </c>
      <c r="O9" s="3">
        <v>46206.465277777781</v>
      </c>
      <c r="P9" s="3">
        <v>46206.47152777778</v>
      </c>
      <c r="Q9" s="1">
        <v>3</v>
      </c>
      <c r="R9" s="1">
        <v>1</v>
      </c>
      <c r="S9" s="1">
        <v>7</v>
      </c>
      <c r="T9" s="1">
        <v>1</v>
      </c>
      <c r="U9" s="1">
        <v>1</v>
      </c>
      <c r="V9" s="1">
        <v>0</v>
      </c>
    </row>
    <row r="10" spans="1:22" ht="22.15" customHeight="1" x14ac:dyDescent="0.2">
      <c r="A10" s="1" t="s">
        <v>71</v>
      </c>
      <c r="B10" s="1">
        <v>7</v>
      </c>
      <c r="C10" s="1">
        <v>4</v>
      </c>
      <c r="D10" s="1">
        <v>4</v>
      </c>
      <c r="E10" s="1">
        <v>2</v>
      </c>
      <c r="F10" s="1">
        <v>3</v>
      </c>
      <c r="G10" s="1">
        <v>3</v>
      </c>
      <c r="H10" s="1">
        <v>3</v>
      </c>
      <c r="I10" s="1">
        <v>4</v>
      </c>
      <c r="J10" s="1">
        <v>3</v>
      </c>
      <c r="K10" s="1">
        <v>3</v>
      </c>
      <c r="L10" s="1">
        <v>3</v>
      </c>
      <c r="M10" s="1">
        <v>4</v>
      </c>
      <c r="N10" s="1">
        <v>2</v>
      </c>
      <c r="O10" s="3">
        <v>46219.706944444442</v>
      </c>
      <c r="P10" s="3">
        <v>46219.713888888888</v>
      </c>
      <c r="Q10" s="1">
        <v>4</v>
      </c>
      <c r="R10" s="1">
        <v>2</v>
      </c>
      <c r="S10" s="1">
        <v>6</v>
      </c>
      <c r="T10" s="1">
        <v>1</v>
      </c>
      <c r="U10" s="1">
        <v>0</v>
      </c>
      <c r="V10" s="1">
        <v>1</v>
      </c>
    </row>
    <row r="11" spans="1:22" ht="22.15" customHeight="1" x14ac:dyDescent="0.2">
      <c r="A11" s="1" t="s">
        <v>72</v>
      </c>
      <c r="B11" s="1">
        <v>5</v>
      </c>
      <c r="C11" s="1">
        <v>3</v>
      </c>
      <c r="D11" s="1">
        <v>3</v>
      </c>
      <c r="E11" s="1">
        <v>1</v>
      </c>
      <c r="F11" s="1">
        <v>3</v>
      </c>
      <c r="G11" s="1">
        <v>3</v>
      </c>
      <c r="H11" s="1">
        <v>4</v>
      </c>
      <c r="I11" s="1">
        <v>3</v>
      </c>
      <c r="J11" s="1">
        <v>3</v>
      </c>
      <c r="K11" s="1">
        <v>2</v>
      </c>
      <c r="L11" s="1">
        <v>2</v>
      </c>
      <c r="M11" s="1">
        <v>2</v>
      </c>
      <c r="N11" s="1">
        <v>3</v>
      </c>
      <c r="O11" s="3">
        <v>46206.353472222218</v>
      </c>
      <c r="P11" s="3">
        <v>46206.364583333343</v>
      </c>
      <c r="Q11" s="1">
        <v>4</v>
      </c>
      <c r="R11" s="1">
        <v>2</v>
      </c>
      <c r="S11" s="1">
        <v>3</v>
      </c>
      <c r="T11" s="1">
        <v>1</v>
      </c>
      <c r="U11" s="1">
        <v>1</v>
      </c>
      <c r="V11" s="1">
        <v>1</v>
      </c>
    </row>
    <row r="12" spans="1:22" ht="22.15" customHeight="1" x14ac:dyDescent="0.2">
      <c r="A12" s="1" t="s">
        <v>73</v>
      </c>
      <c r="B12" s="1">
        <v>8</v>
      </c>
      <c r="C12" s="1">
        <v>3</v>
      </c>
      <c r="D12" s="1">
        <v>4</v>
      </c>
      <c r="E12" s="1">
        <v>3</v>
      </c>
      <c r="F12" s="1">
        <v>2</v>
      </c>
      <c r="G12" s="1">
        <v>3</v>
      </c>
      <c r="H12" s="1">
        <v>2</v>
      </c>
      <c r="I12" s="1">
        <v>3</v>
      </c>
      <c r="J12" s="1">
        <v>4</v>
      </c>
      <c r="K12" s="1">
        <v>4</v>
      </c>
      <c r="L12" s="1">
        <v>3</v>
      </c>
      <c r="M12" s="1">
        <v>4</v>
      </c>
      <c r="N12" s="1">
        <v>4</v>
      </c>
      <c r="O12" s="3">
        <v>46227.67291666667</v>
      </c>
      <c r="P12" s="3">
        <v>46227.679166666669</v>
      </c>
      <c r="Q12" s="1">
        <v>7</v>
      </c>
      <c r="R12" s="1">
        <v>2</v>
      </c>
      <c r="S12" s="1">
        <v>8</v>
      </c>
      <c r="T12" s="1">
        <v>1</v>
      </c>
      <c r="U12" s="1">
        <v>1</v>
      </c>
      <c r="V12" s="1">
        <v>1</v>
      </c>
    </row>
    <row r="13" spans="1:22" ht="22.15" customHeight="1" x14ac:dyDescent="0.2">
      <c r="A13" s="1" t="s">
        <v>74</v>
      </c>
      <c r="B13" s="1">
        <v>5</v>
      </c>
      <c r="C13" s="1">
        <v>3</v>
      </c>
      <c r="D13" s="1">
        <v>2</v>
      </c>
      <c r="E13" s="1">
        <v>2</v>
      </c>
      <c r="F13" s="1">
        <v>2</v>
      </c>
      <c r="G13" s="1">
        <v>4</v>
      </c>
      <c r="H13" s="1">
        <v>3</v>
      </c>
      <c r="I13" s="1">
        <v>3</v>
      </c>
      <c r="J13" s="1">
        <v>2</v>
      </c>
      <c r="K13" s="1">
        <v>3</v>
      </c>
      <c r="L13" s="1">
        <v>2</v>
      </c>
      <c r="M13" s="1">
        <v>3</v>
      </c>
      <c r="N13" s="1">
        <v>5</v>
      </c>
      <c r="O13" s="3">
        <v>46213.581250000003</v>
      </c>
      <c r="P13" s="3">
        <v>46213.59097222222</v>
      </c>
      <c r="Q13" s="1">
        <v>9</v>
      </c>
      <c r="R13" s="1">
        <v>1</v>
      </c>
      <c r="S13" s="1">
        <v>1</v>
      </c>
      <c r="T13" s="1">
        <v>0</v>
      </c>
      <c r="U13" s="1">
        <v>1</v>
      </c>
      <c r="V13" s="1">
        <v>1</v>
      </c>
    </row>
    <row r="14" spans="1:22" ht="22.15" customHeight="1" x14ac:dyDescent="0.2">
      <c r="A14" s="1" t="s">
        <v>75</v>
      </c>
      <c r="B14" s="1">
        <v>7</v>
      </c>
      <c r="C14" s="1">
        <v>4</v>
      </c>
      <c r="D14" s="1">
        <v>4</v>
      </c>
      <c r="E14" s="1">
        <v>3</v>
      </c>
      <c r="F14" s="1">
        <v>3</v>
      </c>
      <c r="G14" s="1">
        <v>4</v>
      </c>
      <c r="H14" s="1">
        <v>3</v>
      </c>
      <c r="I14" s="1">
        <v>3</v>
      </c>
      <c r="J14" s="1">
        <v>4</v>
      </c>
      <c r="K14" s="1">
        <v>4</v>
      </c>
      <c r="L14" s="1">
        <v>3</v>
      </c>
      <c r="M14" s="1">
        <v>3</v>
      </c>
      <c r="N14" s="1">
        <v>4</v>
      </c>
      <c r="O14" s="3">
        <v>46219.466666666667</v>
      </c>
      <c r="P14" s="3">
        <v>46219.473611111112</v>
      </c>
      <c r="Q14" s="1">
        <v>3</v>
      </c>
      <c r="R14" s="1">
        <v>1</v>
      </c>
      <c r="S14" s="1">
        <v>8</v>
      </c>
      <c r="T14" s="1">
        <v>1</v>
      </c>
      <c r="U14" s="1">
        <v>0</v>
      </c>
      <c r="V14" s="1">
        <v>0</v>
      </c>
    </row>
    <row r="15" spans="1:22" ht="22.15" customHeight="1" x14ac:dyDescent="0.2">
      <c r="A15" s="1" t="s">
        <v>76</v>
      </c>
      <c r="B15" s="1">
        <v>9</v>
      </c>
      <c r="C15" s="1">
        <v>5</v>
      </c>
      <c r="D15" s="1">
        <v>5</v>
      </c>
      <c r="E15" s="1">
        <v>3</v>
      </c>
      <c r="F15" s="1">
        <v>4</v>
      </c>
      <c r="G15" s="1">
        <v>5</v>
      </c>
      <c r="H15" s="1">
        <v>5</v>
      </c>
      <c r="I15" s="1">
        <v>5</v>
      </c>
      <c r="J15" s="1">
        <v>5</v>
      </c>
      <c r="K15" s="1">
        <v>4</v>
      </c>
      <c r="L15" s="1">
        <v>4</v>
      </c>
      <c r="M15" s="1">
        <v>3</v>
      </c>
      <c r="N15" s="1">
        <v>1</v>
      </c>
      <c r="O15" s="3">
        <v>46214.609722222223</v>
      </c>
      <c r="P15" s="3">
        <v>46214.614583333343</v>
      </c>
      <c r="Q15" s="1">
        <v>4</v>
      </c>
      <c r="R15" s="1">
        <v>1</v>
      </c>
      <c r="S15" s="1">
        <v>8</v>
      </c>
      <c r="T15" s="1">
        <v>1</v>
      </c>
      <c r="U15" s="1">
        <v>1</v>
      </c>
      <c r="V15" s="1">
        <v>1</v>
      </c>
    </row>
    <row r="16" spans="1:22" ht="22.15" customHeight="1" x14ac:dyDescent="0.2">
      <c r="A16" s="1" t="s">
        <v>77</v>
      </c>
      <c r="B16" s="1">
        <v>9</v>
      </c>
      <c r="C16" s="1">
        <v>5</v>
      </c>
      <c r="D16" s="1">
        <v>5</v>
      </c>
      <c r="E16" s="1">
        <v>4</v>
      </c>
      <c r="F16" s="1">
        <v>4</v>
      </c>
      <c r="G16" s="1">
        <v>4</v>
      </c>
      <c r="H16" s="1">
        <v>5</v>
      </c>
      <c r="I16" s="1">
        <v>5</v>
      </c>
      <c r="J16" s="1">
        <v>3</v>
      </c>
      <c r="K16" s="1">
        <v>4</v>
      </c>
      <c r="L16" s="1">
        <v>4</v>
      </c>
      <c r="M16" s="1">
        <v>5</v>
      </c>
      <c r="N16" s="1">
        <v>3</v>
      </c>
      <c r="O16" s="3">
        <v>46221.425000000003</v>
      </c>
      <c r="P16" s="3">
        <v>46221.426388888889</v>
      </c>
      <c r="Q16" s="1">
        <v>5</v>
      </c>
      <c r="R16" s="1">
        <v>0</v>
      </c>
      <c r="S16" s="1">
        <v>11</v>
      </c>
      <c r="T16" s="1">
        <v>1</v>
      </c>
      <c r="U16" s="1">
        <v>1</v>
      </c>
      <c r="V16" s="1">
        <v>1</v>
      </c>
    </row>
    <row r="17" spans="1:22" ht="22.15" customHeight="1" x14ac:dyDescent="0.2">
      <c r="A17" s="1" t="s">
        <v>78</v>
      </c>
      <c r="B17" s="1">
        <v>6</v>
      </c>
      <c r="C17" s="1">
        <v>4</v>
      </c>
      <c r="D17" s="1">
        <v>4</v>
      </c>
      <c r="E17" s="1">
        <v>4</v>
      </c>
      <c r="F17" s="1">
        <v>3</v>
      </c>
      <c r="G17" s="1">
        <v>3</v>
      </c>
      <c r="H17" s="1">
        <v>3</v>
      </c>
      <c r="I17" s="1">
        <v>2</v>
      </c>
      <c r="J17" s="1">
        <v>3</v>
      </c>
      <c r="K17" s="1">
        <v>3</v>
      </c>
      <c r="L17" s="1">
        <v>4</v>
      </c>
      <c r="M17" s="1">
        <v>3</v>
      </c>
      <c r="N17" s="1">
        <v>4</v>
      </c>
      <c r="O17" s="3">
        <v>46211.464583333327</v>
      </c>
      <c r="P17" s="3">
        <v>46211.467361111107</v>
      </c>
      <c r="Q17" s="1">
        <v>6</v>
      </c>
      <c r="R17" s="1">
        <v>2</v>
      </c>
      <c r="S17" s="1">
        <v>6</v>
      </c>
      <c r="T17" s="1">
        <v>1</v>
      </c>
      <c r="U17" s="1">
        <v>1</v>
      </c>
      <c r="V17" s="1">
        <v>1</v>
      </c>
    </row>
    <row r="18" spans="1:22" ht="22.15" customHeight="1" x14ac:dyDescent="0.2">
      <c r="A18" s="1" t="s">
        <v>79</v>
      </c>
      <c r="B18" s="1">
        <v>4</v>
      </c>
      <c r="C18" s="1">
        <v>3</v>
      </c>
      <c r="D18" s="1">
        <v>3</v>
      </c>
      <c r="E18" s="1">
        <v>2</v>
      </c>
      <c r="F18" s="1">
        <v>3</v>
      </c>
      <c r="G18" s="1">
        <v>3</v>
      </c>
      <c r="H18" s="1">
        <v>2</v>
      </c>
      <c r="I18" s="1">
        <v>2</v>
      </c>
      <c r="J18" s="1">
        <v>2</v>
      </c>
      <c r="K18" s="1">
        <v>3</v>
      </c>
      <c r="L18" s="1">
        <v>1</v>
      </c>
      <c r="M18" s="1">
        <v>2</v>
      </c>
      <c r="N18" s="1">
        <v>4</v>
      </c>
      <c r="O18" s="3">
        <v>46225.690972222219</v>
      </c>
      <c r="P18" s="3">
        <v>46225.696527777778</v>
      </c>
      <c r="Q18" s="1">
        <v>4</v>
      </c>
      <c r="R18" s="1">
        <v>0</v>
      </c>
      <c r="S18" s="1">
        <v>4</v>
      </c>
      <c r="T18" s="1">
        <v>0</v>
      </c>
      <c r="U18" s="1">
        <v>0</v>
      </c>
      <c r="V18" s="1">
        <v>1</v>
      </c>
    </row>
    <row r="19" spans="1:22" ht="22.15" customHeight="1" x14ac:dyDescent="0.2">
      <c r="A19" s="1" t="s">
        <v>80</v>
      </c>
      <c r="B19" s="1">
        <v>5</v>
      </c>
      <c r="C19" s="1">
        <v>3</v>
      </c>
      <c r="D19" s="1">
        <v>2</v>
      </c>
      <c r="E19" s="1">
        <v>2</v>
      </c>
      <c r="F19" s="1">
        <v>2</v>
      </c>
      <c r="G19" s="1">
        <v>2</v>
      </c>
      <c r="H19" s="1">
        <v>3</v>
      </c>
      <c r="I19" s="1">
        <v>2</v>
      </c>
      <c r="J19" s="1">
        <v>3</v>
      </c>
      <c r="K19" s="1">
        <v>2</v>
      </c>
      <c r="L19" s="1">
        <v>3</v>
      </c>
      <c r="M19" s="1">
        <v>3</v>
      </c>
      <c r="N19" s="1">
        <v>4</v>
      </c>
      <c r="O19" s="3">
        <v>46226.447916666657</v>
      </c>
      <c r="P19" s="3">
        <v>46226.457638888889</v>
      </c>
      <c r="Q19" s="1">
        <v>6</v>
      </c>
      <c r="R19" s="1">
        <v>1</v>
      </c>
      <c r="S19" s="1">
        <v>6</v>
      </c>
      <c r="T19" s="1">
        <v>0</v>
      </c>
      <c r="U19" s="1">
        <v>1</v>
      </c>
      <c r="V19" s="1">
        <v>0</v>
      </c>
    </row>
    <row r="20" spans="1:22" ht="22.15" customHeight="1" x14ac:dyDescent="0.2">
      <c r="A20" s="1" t="s">
        <v>81</v>
      </c>
      <c r="B20" s="1">
        <v>5</v>
      </c>
      <c r="C20" s="1">
        <v>3</v>
      </c>
      <c r="D20" s="1">
        <v>1</v>
      </c>
      <c r="E20" s="1">
        <v>3</v>
      </c>
      <c r="F20" s="1">
        <v>3</v>
      </c>
      <c r="G20" s="1">
        <v>2</v>
      </c>
      <c r="H20" s="1">
        <v>2</v>
      </c>
      <c r="I20" s="1">
        <v>1</v>
      </c>
      <c r="J20" s="1">
        <v>3</v>
      </c>
      <c r="K20" s="1">
        <v>2</v>
      </c>
      <c r="L20" s="1">
        <v>2</v>
      </c>
      <c r="M20" s="1">
        <v>3</v>
      </c>
      <c r="N20" s="1">
        <v>4</v>
      </c>
      <c r="O20" s="3">
        <v>46216.570833333331</v>
      </c>
      <c r="P20" s="3">
        <v>46216.578472222223</v>
      </c>
      <c r="Q20" s="1">
        <v>4</v>
      </c>
      <c r="R20" s="1">
        <v>2</v>
      </c>
      <c r="S20" s="1">
        <v>6</v>
      </c>
      <c r="T20" s="1">
        <v>1</v>
      </c>
      <c r="U20" s="1">
        <v>1</v>
      </c>
      <c r="V20" s="1">
        <v>1</v>
      </c>
    </row>
    <row r="21" spans="1:22" ht="22.15" customHeight="1" x14ac:dyDescent="0.2">
      <c r="A21" s="1" t="s">
        <v>82</v>
      </c>
      <c r="B21" s="1">
        <v>10</v>
      </c>
      <c r="C21" s="1">
        <v>5</v>
      </c>
      <c r="D21" s="1">
        <v>4</v>
      </c>
      <c r="E21" s="1">
        <v>4</v>
      </c>
      <c r="F21" s="1">
        <v>5</v>
      </c>
      <c r="G21" s="1">
        <v>4</v>
      </c>
      <c r="H21" s="1">
        <v>4</v>
      </c>
      <c r="I21" s="1">
        <v>4</v>
      </c>
      <c r="J21" s="1">
        <v>3</v>
      </c>
      <c r="K21" s="1">
        <v>4</v>
      </c>
      <c r="L21" s="1">
        <v>4</v>
      </c>
      <c r="M21" s="1">
        <v>5</v>
      </c>
      <c r="N21" s="1">
        <v>3</v>
      </c>
      <c r="O21" s="3">
        <v>46215.486805555563</v>
      </c>
      <c r="P21" s="3">
        <v>46215.490277777782</v>
      </c>
      <c r="Q21" s="1">
        <v>7</v>
      </c>
      <c r="R21" s="1">
        <v>2</v>
      </c>
      <c r="S21" s="1">
        <v>11</v>
      </c>
      <c r="T21" s="1">
        <v>1</v>
      </c>
      <c r="U21" s="1">
        <v>0</v>
      </c>
      <c r="V21" s="1">
        <v>1</v>
      </c>
    </row>
    <row r="22" spans="1:22" ht="22.15" customHeight="1" x14ac:dyDescent="0.2">
      <c r="A22" s="1" t="s">
        <v>83</v>
      </c>
      <c r="B22" s="1">
        <v>8</v>
      </c>
      <c r="C22" s="1">
        <v>3</v>
      </c>
      <c r="D22" s="1">
        <v>3</v>
      </c>
      <c r="E22" s="1">
        <v>2</v>
      </c>
      <c r="F22" s="1">
        <v>3</v>
      </c>
      <c r="G22" s="1">
        <v>4</v>
      </c>
      <c r="H22" s="1">
        <v>2</v>
      </c>
      <c r="I22" s="1">
        <v>2</v>
      </c>
      <c r="J22" s="1">
        <v>2</v>
      </c>
      <c r="K22" s="1">
        <v>3</v>
      </c>
      <c r="L22" s="1">
        <v>2</v>
      </c>
      <c r="M22" s="1">
        <v>4</v>
      </c>
      <c r="N22" s="1">
        <v>3</v>
      </c>
      <c r="O22" s="3">
        <v>46210.400694444441</v>
      </c>
      <c r="P22" s="3">
        <v>46210.405555555553</v>
      </c>
      <c r="Q22" s="1">
        <v>3</v>
      </c>
      <c r="R22" s="1">
        <v>1</v>
      </c>
      <c r="S22" s="1">
        <v>5</v>
      </c>
      <c r="T22" s="1">
        <v>0</v>
      </c>
      <c r="U22" s="1">
        <v>0</v>
      </c>
      <c r="V22" s="1">
        <v>1</v>
      </c>
    </row>
    <row r="23" spans="1:22" ht="22.15" customHeight="1" x14ac:dyDescent="0.2">
      <c r="A23" s="1" t="s">
        <v>84</v>
      </c>
      <c r="B23" s="1">
        <v>6</v>
      </c>
      <c r="C23" s="1">
        <v>4</v>
      </c>
      <c r="D23" s="1">
        <v>3</v>
      </c>
      <c r="E23" s="1">
        <v>4</v>
      </c>
      <c r="F23" s="1">
        <v>2</v>
      </c>
      <c r="G23" s="1">
        <v>4</v>
      </c>
      <c r="H23" s="1">
        <v>4</v>
      </c>
      <c r="I23" s="1">
        <v>2</v>
      </c>
      <c r="J23" s="1">
        <v>2</v>
      </c>
      <c r="K23" s="1">
        <v>3</v>
      </c>
      <c r="L23" s="1">
        <v>2</v>
      </c>
      <c r="M23" s="1">
        <v>3</v>
      </c>
      <c r="N23" s="1">
        <v>3</v>
      </c>
      <c r="O23" s="3">
        <v>46212.743750000001</v>
      </c>
      <c r="P23" s="3">
        <v>46212.745138888888</v>
      </c>
      <c r="Q23" s="1">
        <v>7</v>
      </c>
      <c r="R23" s="1">
        <v>1</v>
      </c>
      <c r="S23" s="1">
        <v>3</v>
      </c>
      <c r="T23" s="1">
        <v>1</v>
      </c>
      <c r="U23" s="1">
        <v>0</v>
      </c>
      <c r="V23" s="1">
        <v>1</v>
      </c>
    </row>
    <row r="24" spans="1:22" ht="22.15" customHeight="1" x14ac:dyDescent="0.2">
      <c r="A24" s="1" t="s">
        <v>85</v>
      </c>
      <c r="B24" s="1">
        <v>5</v>
      </c>
      <c r="C24" s="1">
        <v>3</v>
      </c>
      <c r="D24" s="1">
        <v>2</v>
      </c>
      <c r="E24" s="1">
        <v>3</v>
      </c>
      <c r="F24" s="1">
        <v>3</v>
      </c>
      <c r="G24" s="1">
        <v>3</v>
      </c>
      <c r="H24" s="1">
        <v>2</v>
      </c>
      <c r="I24" s="1">
        <v>2</v>
      </c>
      <c r="J24" s="1">
        <v>2</v>
      </c>
      <c r="K24" s="1">
        <v>3</v>
      </c>
      <c r="L24" s="1">
        <v>3</v>
      </c>
      <c r="M24" s="1">
        <v>3</v>
      </c>
      <c r="N24" s="1">
        <v>4</v>
      </c>
      <c r="O24" s="3">
        <v>46217.649305555547</v>
      </c>
      <c r="P24" s="3">
        <v>46217.656944444447</v>
      </c>
      <c r="Q24" s="1">
        <v>3</v>
      </c>
      <c r="R24" s="1">
        <v>0</v>
      </c>
      <c r="S24" s="1">
        <v>6</v>
      </c>
      <c r="T24" s="1">
        <v>1</v>
      </c>
      <c r="U24" s="1">
        <v>1</v>
      </c>
      <c r="V24" s="1">
        <v>1</v>
      </c>
    </row>
    <row r="25" spans="1:22" ht="22.15" customHeight="1" x14ac:dyDescent="0.2">
      <c r="A25" s="1" t="s">
        <v>86</v>
      </c>
      <c r="B25" s="1">
        <v>6</v>
      </c>
      <c r="C25" s="1">
        <v>4</v>
      </c>
      <c r="D25" s="1">
        <v>4</v>
      </c>
      <c r="E25" s="1">
        <v>3</v>
      </c>
      <c r="F25" s="1">
        <v>4</v>
      </c>
      <c r="G25" s="1">
        <v>3</v>
      </c>
      <c r="H25" s="1">
        <v>4</v>
      </c>
      <c r="I25" s="1">
        <v>4</v>
      </c>
      <c r="J25" s="1">
        <v>4</v>
      </c>
      <c r="K25" s="1">
        <v>4</v>
      </c>
      <c r="L25" s="1">
        <v>4</v>
      </c>
      <c r="M25" s="1">
        <v>4</v>
      </c>
      <c r="N25" s="1">
        <v>2</v>
      </c>
      <c r="O25" s="3">
        <v>46210.636805555558</v>
      </c>
      <c r="P25" s="3">
        <v>46210.640972222223</v>
      </c>
      <c r="Q25" s="1">
        <v>4</v>
      </c>
      <c r="R25" s="1">
        <v>2</v>
      </c>
      <c r="S25" s="1">
        <v>1</v>
      </c>
      <c r="T25" s="1">
        <v>1</v>
      </c>
      <c r="U25" s="1">
        <v>1</v>
      </c>
      <c r="V25" s="1">
        <v>1</v>
      </c>
    </row>
    <row r="26" spans="1:22" ht="22.15" customHeight="1" x14ac:dyDescent="0.2">
      <c r="A26" s="1" t="s">
        <v>87</v>
      </c>
      <c r="B26" s="1">
        <v>6</v>
      </c>
      <c r="C26" s="1">
        <v>4</v>
      </c>
      <c r="D26" s="1">
        <v>3</v>
      </c>
      <c r="E26" s="1">
        <v>2</v>
      </c>
      <c r="F26" s="1">
        <v>3</v>
      </c>
      <c r="G26" s="1">
        <v>2</v>
      </c>
      <c r="H26" s="1">
        <v>3</v>
      </c>
      <c r="I26" s="1">
        <v>2</v>
      </c>
      <c r="J26" s="1">
        <v>2</v>
      </c>
      <c r="K26" s="1">
        <v>3</v>
      </c>
      <c r="L26" s="1">
        <v>3</v>
      </c>
      <c r="M26" s="1">
        <v>3</v>
      </c>
      <c r="N26" s="1">
        <v>4</v>
      </c>
      <c r="O26" s="3">
        <v>46231.629861111112</v>
      </c>
      <c r="P26" s="3">
        <v>46231.638888888891</v>
      </c>
      <c r="Q26" s="1">
        <v>4</v>
      </c>
      <c r="R26" s="1">
        <v>3</v>
      </c>
      <c r="S26" s="1">
        <v>3</v>
      </c>
      <c r="T26" s="1">
        <v>0</v>
      </c>
      <c r="U26" s="1">
        <v>1</v>
      </c>
      <c r="V26" s="1">
        <v>1</v>
      </c>
    </row>
    <row r="27" spans="1:22" ht="22.15" customHeight="1" x14ac:dyDescent="0.2">
      <c r="A27" s="1" t="s">
        <v>88</v>
      </c>
      <c r="B27" s="1">
        <v>2</v>
      </c>
      <c r="C27" s="1">
        <v>2</v>
      </c>
      <c r="D27" s="1">
        <v>3</v>
      </c>
      <c r="E27" s="1">
        <v>1</v>
      </c>
      <c r="F27" s="1">
        <v>2</v>
      </c>
      <c r="G27" s="1">
        <v>3</v>
      </c>
      <c r="H27" s="1">
        <v>1</v>
      </c>
      <c r="I27" s="1">
        <v>1</v>
      </c>
      <c r="J27" s="1">
        <v>3</v>
      </c>
      <c r="K27" s="1">
        <v>1</v>
      </c>
      <c r="L27" s="1">
        <v>1</v>
      </c>
      <c r="M27" s="1">
        <v>2</v>
      </c>
      <c r="N27" s="1">
        <v>6</v>
      </c>
      <c r="O27" s="3">
        <v>46210.529166666667</v>
      </c>
      <c r="P27" s="3">
        <v>46210.538888888892</v>
      </c>
      <c r="Q27" s="1">
        <v>7</v>
      </c>
      <c r="R27" s="1">
        <v>3</v>
      </c>
      <c r="S27" s="1">
        <v>3</v>
      </c>
      <c r="T27" s="1">
        <v>1</v>
      </c>
      <c r="U27" s="1">
        <v>0</v>
      </c>
      <c r="V27" s="1">
        <v>1</v>
      </c>
    </row>
    <row r="28" spans="1:22" ht="22.15" customHeight="1" x14ac:dyDescent="0.2">
      <c r="A28" s="1" t="s">
        <v>89</v>
      </c>
      <c r="B28" s="1">
        <v>8</v>
      </c>
      <c r="C28" s="1">
        <v>4</v>
      </c>
      <c r="D28" s="1">
        <v>3</v>
      </c>
      <c r="E28" s="1">
        <v>3</v>
      </c>
      <c r="F28" s="1">
        <v>4</v>
      </c>
      <c r="G28" s="1">
        <v>4</v>
      </c>
      <c r="H28" s="1">
        <v>4</v>
      </c>
      <c r="I28" s="1">
        <v>4</v>
      </c>
      <c r="J28" s="1">
        <v>3</v>
      </c>
      <c r="K28" s="1">
        <v>3</v>
      </c>
      <c r="L28" s="1">
        <v>3</v>
      </c>
      <c r="M28" s="1">
        <v>2</v>
      </c>
      <c r="N28" s="1">
        <v>3</v>
      </c>
      <c r="O28" s="3">
        <v>46230.748611111107</v>
      </c>
      <c r="P28" s="3">
        <v>46230.754166666673</v>
      </c>
      <c r="Q28" s="1">
        <v>5</v>
      </c>
      <c r="R28" s="1">
        <v>0</v>
      </c>
      <c r="S28" s="1">
        <v>7</v>
      </c>
      <c r="T28" s="1">
        <v>1</v>
      </c>
      <c r="U28" s="1">
        <v>1</v>
      </c>
      <c r="V28" s="1">
        <v>1</v>
      </c>
    </row>
    <row r="29" spans="1:22" ht="22.15" customHeight="1" x14ac:dyDescent="0.2">
      <c r="A29" s="1" t="s">
        <v>90</v>
      </c>
      <c r="B29" s="1">
        <v>10</v>
      </c>
      <c r="C29" s="1">
        <v>5</v>
      </c>
      <c r="D29" s="1">
        <v>3</v>
      </c>
      <c r="E29" s="1">
        <v>5</v>
      </c>
      <c r="F29" s="1">
        <v>3</v>
      </c>
      <c r="G29" s="1">
        <v>3</v>
      </c>
      <c r="H29" s="1">
        <v>3</v>
      </c>
      <c r="I29" s="1">
        <v>4</v>
      </c>
      <c r="J29" s="1">
        <v>4</v>
      </c>
      <c r="K29" s="1">
        <v>2</v>
      </c>
      <c r="L29" s="1">
        <v>3</v>
      </c>
      <c r="M29" s="1">
        <v>4</v>
      </c>
      <c r="N29" s="1">
        <v>4</v>
      </c>
      <c r="O29" s="3">
        <v>46222.611111111109</v>
      </c>
      <c r="P29" s="3">
        <v>46222.616666666669</v>
      </c>
      <c r="Q29" s="1">
        <v>6</v>
      </c>
      <c r="R29" s="1">
        <v>2</v>
      </c>
      <c r="S29" s="1">
        <v>1</v>
      </c>
      <c r="T29" s="1">
        <v>1</v>
      </c>
      <c r="U29" s="1">
        <v>1</v>
      </c>
      <c r="V29" s="1">
        <v>1</v>
      </c>
    </row>
    <row r="30" spans="1:22" ht="22.15" customHeight="1" x14ac:dyDescent="0.2">
      <c r="A30" s="1" t="s">
        <v>91</v>
      </c>
      <c r="B30" s="1">
        <v>7</v>
      </c>
      <c r="C30" s="1">
        <v>4</v>
      </c>
      <c r="D30" s="1">
        <v>4</v>
      </c>
      <c r="E30" s="1">
        <v>4</v>
      </c>
      <c r="F30" s="1">
        <v>4</v>
      </c>
      <c r="G30" s="1">
        <v>2</v>
      </c>
      <c r="H30" s="1">
        <v>5</v>
      </c>
      <c r="I30" s="1">
        <v>3</v>
      </c>
      <c r="J30" s="1">
        <v>3</v>
      </c>
      <c r="K30" s="1">
        <v>3</v>
      </c>
      <c r="L30" s="1">
        <v>2</v>
      </c>
      <c r="M30" s="1">
        <v>3</v>
      </c>
      <c r="N30" s="1">
        <v>4</v>
      </c>
      <c r="O30" s="3">
        <v>46219.769444444442</v>
      </c>
      <c r="P30" s="3">
        <v>46219.775694444441</v>
      </c>
      <c r="Q30" s="1">
        <v>4</v>
      </c>
      <c r="R30" s="1">
        <v>0</v>
      </c>
      <c r="S30" s="1">
        <v>11</v>
      </c>
      <c r="T30" s="1">
        <v>1</v>
      </c>
      <c r="U30" s="1">
        <v>1</v>
      </c>
      <c r="V30" s="1">
        <v>1</v>
      </c>
    </row>
    <row r="31" spans="1:22" ht="22.15" customHeight="1" x14ac:dyDescent="0.2">
      <c r="A31" s="1" t="s">
        <v>92</v>
      </c>
      <c r="B31" s="1">
        <v>9</v>
      </c>
      <c r="C31" s="1">
        <v>5</v>
      </c>
      <c r="D31" s="1">
        <v>5</v>
      </c>
      <c r="E31" s="1">
        <v>5</v>
      </c>
      <c r="F31" s="1">
        <v>4</v>
      </c>
      <c r="G31" s="1">
        <v>5</v>
      </c>
      <c r="H31" s="1">
        <v>5</v>
      </c>
      <c r="I31" s="1">
        <v>3</v>
      </c>
      <c r="J31" s="1">
        <v>5</v>
      </c>
      <c r="K31" s="1">
        <v>4</v>
      </c>
      <c r="L31" s="1">
        <v>4</v>
      </c>
      <c r="M31" s="1">
        <v>5</v>
      </c>
      <c r="N31" s="1">
        <v>4</v>
      </c>
      <c r="O31" s="3">
        <v>46211.649305555547</v>
      </c>
      <c r="P31" s="3">
        <v>46211.650694444441</v>
      </c>
      <c r="Q31" s="1">
        <v>4</v>
      </c>
      <c r="R31" s="1">
        <v>1</v>
      </c>
      <c r="S31" s="1">
        <v>11</v>
      </c>
      <c r="T31" s="1">
        <v>1</v>
      </c>
      <c r="U31" s="1">
        <v>1</v>
      </c>
      <c r="V31" s="1">
        <v>1</v>
      </c>
    </row>
    <row r="32" spans="1:22" ht="22.15" customHeight="1" x14ac:dyDescent="0.2">
      <c r="A32" s="1" t="s">
        <v>93</v>
      </c>
      <c r="B32" s="1">
        <v>7</v>
      </c>
      <c r="C32" s="1">
        <v>5</v>
      </c>
      <c r="D32" s="1">
        <v>4</v>
      </c>
      <c r="E32" s="1">
        <v>3</v>
      </c>
      <c r="F32" s="1">
        <v>3</v>
      </c>
      <c r="G32" s="1">
        <v>2</v>
      </c>
      <c r="H32" s="1">
        <v>3</v>
      </c>
      <c r="I32" s="1">
        <v>4</v>
      </c>
      <c r="J32" s="1">
        <v>3</v>
      </c>
      <c r="K32" s="1">
        <v>4</v>
      </c>
      <c r="L32" s="1">
        <v>2</v>
      </c>
      <c r="M32" s="1">
        <v>4</v>
      </c>
      <c r="N32" s="1">
        <v>4</v>
      </c>
      <c r="O32" s="3">
        <v>46231.488888888889</v>
      </c>
      <c r="P32" s="3">
        <v>46231.495138888888</v>
      </c>
      <c r="Q32" s="1">
        <v>6</v>
      </c>
      <c r="R32" s="1">
        <v>0</v>
      </c>
      <c r="S32" s="1">
        <v>10</v>
      </c>
      <c r="T32" s="1">
        <v>1</v>
      </c>
      <c r="U32" s="1">
        <v>1</v>
      </c>
      <c r="V32" s="1">
        <v>0</v>
      </c>
    </row>
    <row r="33" spans="1:22" ht="22.15" customHeight="1" x14ac:dyDescent="0.2">
      <c r="A33" s="1" t="s">
        <v>94</v>
      </c>
      <c r="B33" s="1">
        <v>9</v>
      </c>
      <c r="C33" s="1">
        <v>5</v>
      </c>
      <c r="D33" s="1">
        <v>3</v>
      </c>
      <c r="E33" s="1">
        <v>3</v>
      </c>
      <c r="F33" s="1">
        <v>3</v>
      </c>
      <c r="G33" s="1">
        <v>3</v>
      </c>
      <c r="H33" s="1">
        <v>3</v>
      </c>
      <c r="I33" s="1">
        <v>4</v>
      </c>
      <c r="J33" s="1">
        <v>4</v>
      </c>
      <c r="K33" s="1">
        <v>3</v>
      </c>
      <c r="L33" s="1">
        <v>3</v>
      </c>
      <c r="M33" s="1">
        <v>3</v>
      </c>
      <c r="N33" s="1">
        <v>4</v>
      </c>
      <c r="O33" s="3">
        <v>46223.611805555563</v>
      </c>
      <c r="P33" s="3">
        <v>46223.616666666669</v>
      </c>
      <c r="Q33" s="1">
        <v>6</v>
      </c>
      <c r="R33" s="1">
        <v>0</v>
      </c>
      <c r="S33" s="1">
        <v>7</v>
      </c>
      <c r="T33" s="1">
        <v>1</v>
      </c>
      <c r="U33" s="1">
        <v>1</v>
      </c>
      <c r="V33" s="1">
        <v>1</v>
      </c>
    </row>
    <row r="34" spans="1:22" ht="22.15" customHeight="1" x14ac:dyDescent="0.2">
      <c r="A34" s="1" t="s">
        <v>95</v>
      </c>
      <c r="B34" s="1">
        <v>8</v>
      </c>
      <c r="C34" s="1">
        <v>4</v>
      </c>
      <c r="D34" s="1">
        <v>5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3</v>
      </c>
      <c r="O34" s="3">
        <v>46217.427083333343</v>
      </c>
      <c r="P34" s="3">
        <v>46217.428472222222</v>
      </c>
      <c r="Q34" s="1">
        <v>4</v>
      </c>
      <c r="R34" s="1">
        <v>2</v>
      </c>
      <c r="S34" s="1">
        <v>6</v>
      </c>
      <c r="T34" s="1">
        <v>0</v>
      </c>
      <c r="U34" s="1">
        <v>1</v>
      </c>
      <c r="V34" s="1">
        <v>1</v>
      </c>
    </row>
    <row r="35" spans="1:22" ht="22.15" customHeight="1" x14ac:dyDescent="0.2">
      <c r="A35" s="1" t="s">
        <v>96</v>
      </c>
      <c r="B35" s="1">
        <v>6</v>
      </c>
      <c r="C35" s="1">
        <v>4</v>
      </c>
      <c r="D35" s="1">
        <v>3</v>
      </c>
      <c r="E35" s="1">
        <v>4</v>
      </c>
      <c r="F35" s="1">
        <v>2</v>
      </c>
      <c r="G35" s="1">
        <v>3</v>
      </c>
      <c r="H35" s="1">
        <v>3</v>
      </c>
      <c r="I35" s="1">
        <v>2</v>
      </c>
      <c r="J35" s="1">
        <v>4</v>
      </c>
      <c r="K35" s="1">
        <v>2</v>
      </c>
      <c r="L35" s="1">
        <v>2</v>
      </c>
      <c r="M35" s="1">
        <v>3</v>
      </c>
      <c r="N35" s="1">
        <v>6</v>
      </c>
      <c r="O35" s="3">
        <v>46210.620833333327</v>
      </c>
      <c r="P35" s="3">
        <v>46210.632638888892</v>
      </c>
      <c r="Q35" s="1">
        <v>4</v>
      </c>
      <c r="R35" s="1">
        <v>0</v>
      </c>
      <c r="S35" s="1">
        <v>5</v>
      </c>
      <c r="T35" s="1">
        <v>0</v>
      </c>
      <c r="U35" s="1">
        <v>1</v>
      </c>
      <c r="V35" s="1">
        <v>1</v>
      </c>
    </row>
    <row r="36" spans="1:22" ht="22.15" customHeight="1" x14ac:dyDescent="0.2">
      <c r="A36" s="1" t="s">
        <v>97</v>
      </c>
      <c r="B36" s="1">
        <v>4</v>
      </c>
      <c r="C36" s="1">
        <v>3</v>
      </c>
      <c r="D36" s="1">
        <v>2</v>
      </c>
      <c r="E36" s="1">
        <v>2</v>
      </c>
      <c r="F36" s="1">
        <v>3</v>
      </c>
      <c r="G36" s="1">
        <v>2</v>
      </c>
      <c r="H36" s="1">
        <v>2</v>
      </c>
      <c r="I36" s="1">
        <v>1</v>
      </c>
      <c r="J36" s="1">
        <v>2</v>
      </c>
      <c r="K36" s="1">
        <v>3</v>
      </c>
      <c r="L36" s="1">
        <v>2</v>
      </c>
      <c r="M36" s="1">
        <v>2</v>
      </c>
      <c r="N36" s="1">
        <v>5</v>
      </c>
      <c r="O36" s="3">
        <v>46227.779861111107</v>
      </c>
      <c r="P36" s="3">
        <v>46227.790972222218</v>
      </c>
      <c r="Q36" s="1">
        <v>4</v>
      </c>
      <c r="R36" s="1">
        <v>1</v>
      </c>
      <c r="S36" s="1">
        <v>1</v>
      </c>
      <c r="T36" s="1">
        <v>1</v>
      </c>
      <c r="U36" s="1">
        <v>1</v>
      </c>
      <c r="V36" s="1">
        <v>0</v>
      </c>
    </row>
    <row r="37" spans="1:22" ht="22.15" customHeight="1" x14ac:dyDescent="0.2">
      <c r="A37" s="1" t="s">
        <v>98</v>
      </c>
      <c r="B37" s="1">
        <v>6</v>
      </c>
      <c r="C37" s="1">
        <v>3</v>
      </c>
      <c r="D37" s="1">
        <v>2</v>
      </c>
      <c r="E37" s="1">
        <v>1</v>
      </c>
      <c r="F37" s="1">
        <v>2</v>
      </c>
      <c r="G37" s="1">
        <v>3</v>
      </c>
      <c r="H37" s="1">
        <v>2</v>
      </c>
      <c r="I37" s="1">
        <v>3</v>
      </c>
      <c r="J37" s="1">
        <v>2</v>
      </c>
      <c r="K37" s="1">
        <v>3</v>
      </c>
      <c r="L37" s="1">
        <v>2</v>
      </c>
      <c r="M37" s="1">
        <v>2</v>
      </c>
      <c r="N37" s="1">
        <v>2</v>
      </c>
      <c r="O37" s="3">
        <v>46206.45</v>
      </c>
      <c r="P37" s="3">
        <v>46206.459027777782</v>
      </c>
      <c r="Q37" s="1">
        <v>8</v>
      </c>
      <c r="R37" s="1">
        <v>1</v>
      </c>
      <c r="S37" s="1">
        <v>3</v>
      </c>
      <c r="T37" s="1">
        <v>1</v>
      </c>
      <c r="U37" s="1">
        <v>0</v>
      </c>
      <c r="V37" s="1">
        <v>1</v>
      </c>
    </row>
    <row r="38" spans="1:22" ht="22.15" customHeight="1" x14ac:dyDescent="0.2">
      <c r="A38" s="1" t="s">
        <v>99</v>
      </c>
      <c r="B38" s="1">
        <v>3</v>
      </c>
      <c r="C38" s="1">
        <v>3</v>
      </c>
      <c r="D38" s="1">
        <v>2</v>
      </c>
      <c r="E38" s="1">
        <v>2</v>
      </c>
      <c r="F38" s="1">
        <v>3</v>
      </c>
      <c r="G38" s="1">
        <v>2</v>
      </c>
      <c r="H38" s="1">
        <v>2</v>
      </c>
      <c r="I38" s="1">
        <v>2</v>
      </c>
      <c r="J38" s="1">
        <v>3</v>
      </c>
      <c r="K38" s="1">
        <v>3</v>
      </c>
      <c r="L38" s="1">
        <v>3</v>
      </c>
      <c r="M38" s="1">
        <v>2</v>
      </c>
      <c r="N38" s="1">
        <v>5</v>
      </c>
      <c r="O38" s="3">
        <v>46217.380555555559</v>
      </c>
      <c r="P38" s="3">
        <v>46217.390972222223</v>
      </c>
      <c r="Q38" s="1">
        <v>6</v>
      </c>
      <c r="R38" s="1">
        <v>2</v>
      </c>
      <c r="S38" s="1">
        <v>6</v>
      </c>
      <c r="T38" s="1">
        <v>1</v>
      </c>
      <c r="U38" s="1">
        <v>0</v>
      </c>
      <c r="V38" s="1">
        <v>0</v>
      </c>
    </row>
    <row r="39" spans="1:22" ht="22.15" customHeight="1" x14ac:dyDescent="0.2">
      <c r="A39" s="1" t="s">
        <v>100</v>
      </c>
      <c r="B39" s="1">
        <v>8</v>
      </c>
      <c r="C39" s="1">
        <v>3</v>
      </c>
      <c r="D39" s="1">
        <v>2</v>
      </c>
      <c r="E39" s="1">
        <v>3</v>
      </c>
      <c r="F39" s="1">
        <v>3</v>
      </c>
      <c r="G39" s="1">
        <v>3</v>
      </c>
      <c r="H39" s="1">
        <v>2</v>
      </c>
      <c r="I39" s="1">
        <v>2</v>
      </c>
      <c r="J39" s="1">
        <v>3</v>
      </c>
      <c r="K39" s="1">
        <v>2</v>
      </c>
      <c r="L39" s="1">
        <v>4</v>
      </c>
      <c r="M39" s="1">
        <v>2</v>
      </c>
      <c r="N39" s="1">
        <v>5</v>
      </c>
      <c r="O39" s="3">
        <v>46224.543749999997</v>
      </c>
      <c r="P39" s="3">
        <v>46224.554861111108</v>
      </c>
      <c r="Q39" s="1">
        <v>4</v>
      </c>
      <c r="R39" s="1">
        <v>1</v>
      </c>
      <c r="S39" s="1">
        <v>6</v>
      </c>
      <c r="T39" s="1">
        <v>1</v>
      </c>
      <c r="U39" s="1">
        <v>1</v>
      </c>
      <c r="V39" s="1">
        <v>1</v>
      </c>
    </row>
    <row r="40" spans="1:22" ht="22.15" customHeight="1" x14ac:dyDescent="0.2">
      <c r="A40" s="1" t="s">
        <v>101</v>
      </c>
      <c r="B40" s="1">
        <v>7</v>
      </c>
      <c r="C40" s="1">
        <v>4</v>
      </c>
      <c r="D40" s="1">
        <v>4</v>
      </c>
      <c r="E40" s="1">
        <v>4</v>
      </c>
      <c r="F40" s="1">
        <v>3</v>
      </c>
      <c r="G40" s="1">
        <v>4</v>
      </c>
      <c r="H40" s="1">
        <v>4</v>
      </c>
      <c r="I40" s="1">
        <v>3</v>
      </c>
      <c r="J40" s="1">
        <v>4</v>
      </c>
      <c r="K40" s="1">
        <v>4</v>
      </c>
      <c r="L40" s="1">
        <v>5</v>
      </c>
      <c r="M40" s="1">
        <v>3</v>
      </c>
      <c r="N40" s="1">
        <v>4</v>
      </c>
      <c r="O40" s="3">
        <v>46208.44027777778</v>
      </c>
      <c r="P40" s="3">
        <v>46208.445833333331</v>
      </c>
      <c r="Q40" s="1">
        <v>5</v>
      </c>
      <c r="R40" s="1">
        <v>3</v>
      </c>
      <c r="S40" s="1">
        <v>6</v>
      </c>
      <c r="T40" s="1">
        <v>1</v>
      </c>
      <c r="U40" s="1">
        <v>1</v>
      </c>
      <c r="V40" s="1">
        <v>1</v>
      </c>
    </row>
    <row r="41" spans="1:22" ht="22.15" customHeight="1" x14ac:dyDescent="0.2">
      <c r="A41" s="1" t="s">
        <v>102</v>
      </c>
      <c r="B41" s="1">
        <v>8</v>
      </c>
      <c r="C41" s="1">
        <v>3</v>
      </c>
      <c r="D41" s="1">
        <v>3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2</v>
      </c>
      <c r="K41" s="1">
        <v>3</v>
      </c>
      <c r="L41" s="1">
        <v>3</v>
      </c>
      <c r="M41" s="1">
        <v>4</v>
      </c>
      <c r="N41" s="1">
        <v>3</v>
      </c>
      <c r="O41" s="3">
        <v>46219.602083333331</v>
      </c>
      <c r="P41" s="3">
        <v>46219.606944444437</v>
      </c>
      <c r="Q41" s="1">
        <v>3</v>
      </c>
      <c r="R41" s="1">
        <v>2</v>
      </c>
      <c r="S41" s="1">
        <v>5</v>
      </c>
      <c r="T41" s="1">
        <v>1</v>
      </c>
      <c r="U41" s="1">
        <v>1</v>
      </c>
      <c r="V41" s="1">
        <v>1</v>
      </c>
    </row>
    <row r="42" spans="1:22" ht="22.15" customHeight="1" x14ac:dyDescent="0.2">
      <c r="A42" s="1" t="s">
        <v>103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7</v>
      </c>
      <c r="O42" s="3">
        <v>46218.476388888892</v>
      </c>
      <c r="P42" s="3">
        <v>46218.486805555563</v>
      </c>
      <c r="Q42" s="1">
        <v>8</v>
      </c>
      <c r="R42" s="1">
        <v>6</v>
      </c>
      <c r="S42" s="1">
        <v>1</v>
      </c>
      <c r="T42" s="1">
        <v>1</v>
      </c>
      <c r="U42" s="1">
        <v>0</v>
      </c>
      <c r="V42" s="1">
        <v>0</v>
      </c>
    </row>
    <row r="43" spans="1:22" ht="22.15" customHeight="1" x14ac:dyDescent="0.2">
      <c r="A43" s="1" t="s">
        <v>104</v>
      </c>
      <c r="B43" s="1">
        <v>5</v>
      </c>
      <c r="C43" s="1">
        <v>3</v>
      </c>
      <c r="D43" s="1">
        <v>3</v>
      </c>
      <c r="E43" s="1">
        <v>3</v>
      </c>
      <c r="F43" s="1">
        <v>3</v>
      </c>
      <c r="G43" s="1">
        <v>2</v>
      </c>
      <c r="H43" s="1">
        <v>2</v>
      </c>
      <c r="I43" s="1">
        <v>4</v>
      </c>
      <c r="J43" s="1">
        <v>2</v>
      </c>
      <c r="K43" s="1">
        <v>4</v>
      </c>
      <c r="L43" s="1">
        <v>3</v>
      </c>
      <c r="M43" s="1">
        <v>2</v>
      </c>
      <c r="N43" s="1">
        <v>3</v>
      </c>
      <c r="O43" s="3">
        <v>46210.445833333331</v>
      </c>
      <c r="P43" s="3">
        <v>46210.455555555563</v>
      </c>
      <c r="Q43" s="1">
        <v>2</v>
      </c>
      <c r="R43" s="1">
        <v>0</v>
      </c>
      <c r="S43" s="1">
        <v>6</v>
      </c>
      <c r="T43" s="1">
        <v>1</v>
      </c>
      <c r="U43" s="1">
        <v>1</v>
      </c>
      <c r="V43" s="1">
        <v>1</v>
      </c>
    </row>
    <row r="44" spans="1:22" ht="22.15" customHeight="1" x14ac:dyDescent="0.2">
      <c r="A44" s="1" t="s">
        <v>105</v>
      </c>
      <c r="B44" s="1">
        <v>6</v>
      </c>
      <c r="C44" s="1">
        <v>3</v>
      </c>
      <c r="D44" s="1">
        <v>2</v>
      </c>
      <c r="E44" s="1">
        <v>2</v>
      </c>
      <c r="F44" s="1">
        <v>2</v>
      </c>
      <c r="G44" s="1">
        <v>2</v>
      </c>
      <c r="H44" s="1">
        <v>2</v>
      </c>
      <c r="I44" s="1">
        <v>2</v>
      </c>
      <c r="J44" s="1">
        <v>2</v>
      </c>
      <c r="K44" s="1">
        <v>3</v>
      </c>
      <c r="L44" s="1">
        <v>3</v>
      </c>
      <c r="M44" s="1">
        <v>2</v>
      </c>
      <c r="N44" s="1">
        <v>4</v>
      </c>
      <c r="O44" s="3">
        <v>46209.441666666673</v>
      </c>
      <c r="P44" s="3">
        <v>46209.45</v>
      </c>
      <c r="Q44" s="1">
        <v>5</v>
      </c>
      <c r="R44" s="1">
        <v>1</v>
      </c>
      <c r="S44" s="1">
        <v>2</v>
      </c>
      <c r="T44" s="1">
        <v>1</v>
      </c>
      <c r="U44" s="1">
        <v>1</v>
      </c>
      <c r="V44" s="1">
        <v>0</v>
      </c>
    </row>
    <row r="45" spans="1:22" ht="22.15" customHeight="1" x14ac:dyDescent="0.2">
      <c r="A45" s="1" t="s">
        <v>106</v>
      </c>
      <c r="B45" s="1">
        <v>5</v>
      </c>
      <c r="C45" s="1">
        <v>3</v>
      </c>
      <c r="D45" s="1">
        <v>4</v>
      </c>
      <c r="E45" s="1">
        <v>4</v>
      </c>
      <c r="F45" s="1">
        <v>3</v>
      </c>
      <c r="G45" s="1">
        <v>3</v>
      </c>
      <c r="H45" s="1">
        <v>4</v>
      </c>
      <c r="I45" s="1">
        <v>3</v>
      </c>
      <c r="J45" s="1">
        <v>3</v>
      </c>
      <c r="K45" s="1">
        <v>3</v>
      </c>
      <c r="L45" s="1">
        <v>4</v>
      </c>
      <c r="M45" s="1">
        <v>3</v>
      </c>
      <c r="N45" s="1">
        <v>4</v>
      </c>
      <c r="O45" s="3">
        <v>46225.775694444441</v>
      </c>
      <c r="P45" s="3">
        <v>46225.782638888893</v>
      </c>
      <c r="Q45" s="1">
        <v>2</v>
      </c>
      <c r="R45" s="1">
        <v>1</v>
      </c>
      <c r="S45" s="1">
        <v>7</v>
      </c>
      <c r="T45" s="1">
        <v>1</v>
      </c>
      <c r="U45" s="1">
        <v>1</v>
      </c>
      <c r="V45" s="1">
        <v>1</v>
      </c>
    </row>
    <row r="46" spans="1:22" ht="22.15" customHeight="1" x14ac:dyDescent="0.2">
      <c r="A46" s="1" t="s">
        <v>107</v>
      </c>
      <c r="B46" s="1">
        <v>8</v>
      </c>
      <c r="C46" s="1">
        <v>4</v>
      </c>
      <c r="D46" s="1">
        <v>4</v>
      </c>
      <c r="E46" s="1">
        <v>3</v>
      </c>
      <c r="F46" s="1">
        <v>4</v>
      </c>
      <c r="G46" s="1">
        <v>4</v>
      </c>
      <c r="H46" s="1">
        <v>3</v>
      </c>
      <c r="I46" s="1">
        <v>3</v>
      </c>
      <c r="J46" s="1">
        <v>4</v>
      </c>
      <c r="K46" s="1">
        <v>2</v>
      </c>
      <c r="L46" s="1">
        <v>4</v>
      </c>
      <c r="M46" s="1">
        <v>4</v>
      </c>
      <c r="N46" s="1">
        <v>4</v>
      </c>
      <c r="O46" s="3">
        <v>46205.584027777782</v>
      </c>
      <c r="P46" s="3">
        <v>46205.588888888888</v>
      </c>
      <c r="Q46" s="1">
        <v>5</v>
      </c>
      <c r="R46" s="1">
        <v>0</v>
      </c>
      <c r="S46" s="1">
        <v>1</v>
      </c>
      <c r="T46" s="1">
        <v>1</v>
      </c>
      <c r="U46" s="1">
        <v>0</v>
      </c>
      <c r="V46" s="1">
        <v>1</v>
      </c>
    </row>
    <row r="47" spans="1:22" ht="22.15" customHeight="1" x14ac:dyDescent="0.2">
      <c r="A47" s="1" t="s">
        <v>108</v>
      </c>
      <c r="B47" s="1">
        <v>9</v>
      </c>
      <c r="C47" s="1">
        <v>4</v>
      </c>
      <c r="D47" s="1">
        <v>4</v>
      </c>
      <c r="E47" s="1">
        <v>4</v>
      </c>
      <c r="F47" s="1">
        <v>4</v>
      </c>
      <c r="G47" s="1">
        <v>5</v>
      </c>
      <c r="H47" s="1">
        <v>5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2</v>
      </c>
      <c r="O47" s="3">
        <v>46210.556944444441</v>
      </c>
      <c r="P47" s="3">
        <v>46210.558333333327</v>
      </c>
      <c r="Q47" s="1">
        <v>3</v>
      </c>
      <c r="R47" s="1">
        <v>1</v>
      </c>
      <c r="S47" s="1">
        <v>5</v>
      </c>
      <c r="T47" s="1">
        <v>1</v>
      </c>
      <c r="U47" s="1">
        <v>1</v>
      </c>
      <c r="V47" s="1">
        <v>1</v>
      </c>
    </row>
    <row r="48" spans="1:22" ht="22.15" customHeight="1" x14ac:dyDescent="0.2">
      <c r="A48" s="1" t="s">
        <v>109</v>
      </c>
      <c r="B48" s="1">
        <v>6</v>
      </c>
      <c r="C48" s="1">
        <v>4</v>
      </c>
      <c r="D48" s="1">
        <v>3</v>
      </c>
      <c r="E48" s="1">
        <v>2</v>
      </c>
      <c r="F48" s="1">
        <v>2</v>
      </c>
      <c r="G48" s="1">
        <v>3</v>
      </c>
      <c r="H48" s="1">
        <v>2</v>
      </c>
      <c r="I48" s="1">
        <v>3</v>
      </c>
      <c r="J48" s="1">
        <v>2</v>
      </c>
      <c r="K48" s="1">
        <v>2</v>
      </c>
      <c r="L48" s="1">
        <v>3</v>
      </c>
      <c r="M48" s="1">
        <v>3</v>
      </c>
      <c r="N48" s="1">
        <v>3</v>
      </c>
      <c r="O48" s="3">
        <v>46206.644444444442</v>
      </c>
      <c r="P48" s="3">
        <v>46206.648611111108</v>
      </c>
      <c r="Q48" s="1">
        <v>3</v>
      </c>
      <c r="R48" s="1">
        <v>1</v>
      </c>
      <c r="S48" s="1">
        <v>5</v>
      </c>
      <c r="T48" s="1">
        <v>1</v>
      </c>
      <c r="U48" s="1">
        <v>1</v>
      </c>
      <c r="V48" s="1">
        <v>1</v>
      </c>
    </row>
    <row r="49" spans="1:22" ht="22.15" customHeight="1" x14ac:dyDescent="0.2">
      <c r="A49" s="1" t="s">
        <v>110</v>
      </c>
      <c r="B49" s="1">
        <v>8</v>
      </c>
      <c r="C49" s="1">
        <v>4</v>
      </c>
      <c r="D49" s="1">
        <v>3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3</v>
      </c>
      <c r="K49" s="1">
        <v>4</v>
      </c>
      <c r="L49" s="1">
        <v>4</v>
      </c>
      <c r="M49" s="1">
        <v>2</v>
      </c>
      <c r="N49" s="1">
        <v>3</v>
      </c>
      <c r="O49" s="3">
        <v>46218.410416666673</v>
      </c>
      <c r="P49" s="3">
        <v>46218.416666666657</v>
      </c>
      <c r="Q49" s="1">
        <v>5</v>
      </c>
      <c r="R49" s="1">
        <v>1</v>
      </c>
      <c r="S49" s="1">
        <v>5</v>
      </c>
      <c r="T49" s="1">
        <v>1</v>
      </c>
      <c r="U49" s="1">
        <v>1</v>
      </c>
      <c r="V49" s="1">
        <v>1</v>
      </c>
    </row>
    <row r="50" spans="1:22" ht="22.15" customHeight="1" x14ac:dyDescent="0.2">
      <c r="A50" s="1" t="s">
        <v>111</v>
      </c>
      <c r="B50" s="1">
        <v>7</v>
      </c>
      <c r="C50" s="1">
        <v>3</v>
      </c>
      <c r="D50" s="1">
        <v>2</v>
      </c>
      <c r="E50" s="1">
        <v>2</v>
      </c>
      <c r="F50" s="1">
        <v>3</v>
      </c>
      <c r="G50" s="1">
        <v>3</v>
      </c>
      <c r="H50" s="1">
        <v>4</v>
      </c>
      <c r="I50" s="1">
        <v>3</v>
      </c>
      <c r="J50" s="1">
        <v>3</v>
      </c>
      <c r="K50" s="1">
        <v>4</v>
      </c>
      <c r="L50" s="1">
        <v>2</v>
      </c>
      <c r="M50" s="1">
        <v>2</v>
      </c>
      <c r="N50" s="1">
        <v>5</v>
      </c>
      <c r="O50" s="3">
        <v>46231.431250000001</v>
      </c>
      <c r="P50" s="3">
        <v>46231.441666666673</v>
      </c>
      <c r="Q50" s="1">
        <v>6</v>
      </c>
      <c r="R50" s="1">
        <v>1</v>
      </c>
      <c r="S50" s="1">
        <v>7</v>
      </c>
      <c r="T50" s="1">
        <v>1</v>
      </c>
      <c r="U50" s="1">
        <v>1</v>
      </c>
      <c r="V50" s="1">
        <v>1</v>
      </c>
    </row>
    <row r="51" spans="1:22" ht="22.15" customHeight="1" x14ac:dyDescent="0.2">
      <c r="A51" s="1" t="s">
        <v>112</v>
      </c>
      <c r="B51" s="1">
        <v>8</v>
      </c>
      <c r="C51" s="1">
        <v>3</v>
      </c>
      <c r="D51" s="1">
        <v>4</v>
      </c>
      <c r="E51" s="1">
        <v>4</v>
      </c>
      <c r="F51" s="1">
        <v>4</v>
      </c>
      <c r="G51" s="1">
        <v>4</v>
      </c>
      <c r="H51" s="1">
        <v>4</v>
      </c>
      <c r="I51" s="1">
        <v>3</v>
      </c>
      <c r="J51" s="1">
        <v>5</v>
      </c>
      <c r="K51" s="1">
        <v>3</v>
      </c>
      <c r="L51" s="1">
        <v>5</v>
      </c>
      <c r="M51" s="1">
        <v>5</v>
      </c>
      <c r="N51" s="1">
        <v>5</v>
      </c>
      <c r="O51" s="3">
        <v>46208.387499999997</v>
      </c>
      <c r="P51" s="3">
        <v>46208.402083333327</v>
      </c>
      <c r="Q51" s="1">
        <v>4</v>
      </c>
      <c r="R51" s="1">
        <v>1</v>
      </c>
      <c r="S51" s="1">
        <v>6</v>
      </c>
      <c r="T51" s="1">
        <v>1</v>
      </c>
      <c r="U51" s="1">
        <v>1</v>
      </c>
      <c r="V51" s="1">
        <v>1</v>
      </c>
    </row>
    <row r="52" spans="1:22" ht="22.15" customHeight="1" x14ac:dyDescent="0.2">
      <c r="A52" s="1" t="s">
        <v>113</v>
      </c>
      <c r="B52" s="1">
        <v>7</v>
      </c>
      <c r="C52" s="1">
        <v>4</v>
      </c>
      <c r="D52" s="1">
        <v>3</v>
      </c>
      <c r="E52" s="1">
        <v>3</v>
      </c>
      <c r="F52" s="1">
        <v>2</v>
      </c>
      <c r="G52" s="1">
        <v>3</v>
      </c>
      <c r="H52" s="1">
        <v>3</v>
      </c>
      <c r="I52" s="1">
        <v>2</v>
      </c>
      <c r="J52" s="1">
        <v>2</v>
      </c>
      <c r="K52" s="1">
        <v>3</v>
      </c>
      <c r="L52" s="1">
        <v>3</v>
      </c>
      <c r="M52" s="1">
        <v>2</v>
      </c>
      <c r="N52" s="1">
        <v>3</v>
      </c>
      <c r="O52" s="3">
        <v>46221.47152777778</v>
      </c>
      <c r="P52" s="3">
        <v>46221.482638888891</v>
      </c>
      <c r="Q52" s="1">
        <v>4</v>
      </c>
      <c r="R52" s="1">
        <v>1</v>
      </c>
      <c r="S52" s="1">
        <v>1</v>
      </c>
      <c r="T52" s="1">
        <v>0</v>
      </c>
      <c r="U52" s="1">
        <v>1</v>
      </c>
      <c r="V52" s="1">
        <v>1</v>
      </c>
    </row>
    <row r="53" spans="1:22" ht="22.15" customHeight="1" x14ac:dyDescent="0.2">
      <c r="A53" s="1" t="s">
        <v>114</v>
      </c>
      <c r="B53" s="1">
        <v>10</v>
      </c>
      <c r="C53" s="1">
        <v>5</v>
      </c>
      <c r="D53" s="1">
        <v>4</v>
      </c>
      <c r="E53" s="1">
        <v>5</v>
      </c>
      <c r="F53" s="1">
        <v>5</v>
      </c>
      <c r="G53" s="1">
        <v>3</v>
      </c>
      <c r="H53" s="1">
        <v>5</v>
      </c>
      <c r="I53" s="1">
        <v>4</v>
      </c>
      <c r="J53" s="1">
        <v>4</v>
      </c>
      <c r="K53" s="1">
        <v>5</v>
      </c>
      <c r="L53" s="1">
        <v>5</v>
      </c>
      <c r="M53" s="1">
        <v>5</v>
      </c>
      <c r="N53" s="1">
        <v>1</v>
      </c>
      <c r="O53" s="3">
        <v>46220.453472222223</v>
      </c>
      <c r="P53" s="3">
        <v>46220.457638888889</v>
      </c>
      <c r="Q53" s="1">
        <v>1</v>
      </c>
      <c r="R53" s="1">
        <v>0</v>
      </c>
      <c r="S53" s="1">
        <v>12</v>
      </c>
      <c r="T53" s="1">
        <v>1</v>
      </c>
      <c r="U53" s="1">
        <v>1</v>
      </c>
      <c r="V53" s="1">
        <v>1</v>
      </c>
    </row>
    <row r="54" spans="1:22" ht="22.15" customHeight="1" x14ac:dyDescent="0.2">
      <c r="A54" s="1" t="s">
        <v>115</v>
      </c>
      <c r="B54" s="1">
        <v>10</v>
      </c>
      <c r="C54" s="1">
        <v>5</v>
      </c>
      <c r="D54" s="1">
        <v>4</v>
      </c>
      <c r="E54" s="1">
        <v>4</v>
      </c>
      <c r="F54" s="1">
        <v>5</v>
      </c>
      <c r="G54" s="1">
        <v>3</v>
      </c>
      <c r="H54" s="1">
        <v>3</v>
      </c>
      <c r="I54" s="1">
        <v>3</v>
      </c>
      <c r="J54" s="1">
        <v>4</v>
      </c>
      <c r="K54" s="1">
        <v>4</v>
      </c>
      <c r="L54" s="1">
        <v>4</v>
      </c>
      <c r="M54" s="1">
        <v>3</v>
      </c>
      <c r="N54" s="1">
        <v>5</v>
      </c>
      <c r="O54" s="3">
        <v>46208.644444444442</v>
      </c>
      <c r="P54" s="3">
        <v>46208.645833333343</v>
      </c>
      <c r="Q54" s="1">
        <v>2</v>
      </c>
      <c r="R54" s="1">
        <v>1</v>
      </c>
      <c r="S54" s="1">
        <v>11</v>
      </c>
      <c r="T54" s="1">
        <v>1</v>
      </c>
      <c r="U54" s="1">
        <v>1</v>
      </c>
      <c r="V54" s="1">
        <v>1</v>
      </c>
    </row>
    <row r="55" spans="1:22" ht="22.15" customHeight="1" x14ac:dyDescent="0.2">
      <c r="A55" s="1" t="s">
        <v>116</v>
      </c>
      <c r="B55" s="1">
        <v>10</v>
      </c>
      <c r="C55" s="1">
        <v>5</v>
      </c>
      <c r="D55" s="1">
        <v>5</v>
      </c>
      <c r="E55" s="1">
        <v>4</v>
      </c>
      <c r="F55" s="1">
        <v>4</v>
      </c>
      <c r="G55" s="1">
        <v>5</v>
      </c>
      <c r="H55" s="1">
        <v>4</v>
      </c>
      <c r="I55" s="1">
        <v>4</v>
      </c>
      <c r="J55" s="1">
        <v>4</v>
      </c>
      <c r="K55" s="1">
        <v>4</v>
      </c>
      <c r="L55" s="1">
        <v>4</v>
      </c>
      <c r="M55" s="1">
        <v>5</v>
      </c>
      <c r="N55" s="1">
        <v>2</v>
      </c>
      <c r="O55" s="3">
        <v>46215.48333333333</v>
      </c>
      <c r="P55" s="3">
        <v>46215.48541666667</v>
      </c>
      <c r="Q55" s="1">
        <v>1</v>
      </c>
      <c r="R55" s="1">
        <v>1</v>
      </c>
      <c r="S55" s="1">
        <v>12</v>
      </c>
      <c r="T55" s="1">
        <v>1</v>
      </c>
      <c r="U55" s="1">
        <v>1</v>
      </c>
      <c r="V55" s="1">
        <v>1</v>
      </c>
    </row>
    <row r="56" spans="1:22" ht="22.15" customHeight="1" x14ac:dyDescent="0.2">
      <c r="A56" s="1" t="s">
        <v>117</v>
      </c>
      <c r="B56" s="1">
        <v>2</v>
      </c>
      <c r="C56" s="1">
        <v>1</v>
      </c>
      <c r="D56" s="1">
        <v>1</v>
      </c>
      <c r="E56" s="1">
        <v>1</v>
      </c>
      <c r="F56" s="1">
        <v>2</v>
      </c>
      <c r="G56" s="1">
        <v>1</v>
      </c>
      <c r="H56" s="1">
        <v>2</v>
      </c>
      <c r="I56" s="1">
        <v>1</v>
      </c>
      <c r="J56" s="1">
        <v>1</v>
      </c>
      <c r="K56" s="1">
        <v>2</v>
      </c>
      <c r="L56" s="1">
        <v>1</v>
      </c>
      <c r="M56" s="1">
        <v>1</v>
      </c>
      <c r="N56" s="1">
        <v>6</v>
      </c>
      <c r="O56" s="3">
        <v>46227.547222222223</v>
      </c>
      <c r="P56" s="3">
        <v>46227.5625</v>
      </c>
      <c r="Q56" s="1">
        <v>7</v>
      </c>
      <c r="R56" s="1">
        <v>1</v>
      </c>
      <c r="S56" s="1">
        <v>4</v>
      </c>
      <c r="T56" s="1">
        <v>1</v>
      </c>
      <c r="U56" s="1">
        <v>1</v>
      </c>
      <c r="V56" s="1">
        <v>1</v>
      </c>
    </row>
    <row r="57" spans="1:22" ht="22.15" customHeight="1" x14ac:dyDescent="0.2">
      <c r="A57" s="1" t="s">
        <v>118</v>
      </c>
      <c r="B57" s="1">
        <v>9</v>
      </c>
      <c r="C57" s="1">
        <v>4</v>
      </c>
      <c r="D57" s="1">
        <v>3</v>
      </c>
      <c r="E57" s="1">
        <v>4</v>
      </c>
      <c r="F57" s="1">
        <v>4</v>
      </c>
      <c r="G57" s="1">
        <v>4</v>
      </c>
      <c r="H57" s="1">
        <v>5</v>
      </c>
      <c r="I57" s="1">
        <v>4</v>
      </c>
      <c r="J57" s="1">
        <v>4</v>
      </c>
      <c r="K57" s="1">
        <v>4</v>
      </c>
      <c r="L57" s="1">
        <v>2</v>
      </c>
      <c r="M57" s="1">
        <v>4</v>
      </c>
      <c r="N57" s="1">
        <v>4</v>
      </c>
      <c r="O57" s="3">
        <v>46215.62222222222</v>
      </c>
      <c r="P57" s="3">
        <v>46215.62777777778</v>
      </c>
      <c r="Q57" s="1">
        <v>3</v>
      </c>
      <c r="R57" s="1">
        <v>1</v>
      </c>
      <c r="S57" s="1">
        <v>9</v>
      </c>
      <c r="T57" s="1">
        <v>1</v>
      </c>
      <c r="U57" s="1">
        <v>1</v>
      </c>
      <c r="V57" s="1">
        <v>1</v>
      </c>
    </row>
    <row r="58" spans="1:22" ht="22.15" customHeight="1" x14ac:dyDescent="0.2">
      <c r="A58" s="1" t="s">
        <v>119</v>
      </c>
      <c r="B58" s="1">
        <v>8</v>
      </c>
      <c r="C58" s="1">
        <v>3</v>
      </c>
      <c r="D58" s="1">
        <v>4</v>
      </c>
      <c r="E58" s="1">
        <v>3</v>
      </c>
      <c r="F58" s="1">
        <v>3</v>
      </c>
      <c r="G58" s="1">
        <v>3</v>
      </c>
      <c r="H58" s="1">
        <v>3</v>
      </c>
      <c r="I58" s="1">
        <v>4</v>
      </c>
      <c r="J58" s="1">
        <v>2</v>
      </c>
      <c r="K58" s="1">
        <v>4</v>
      </c>
      <c r="L58" s="1">
        <v>4</v>
      </c>
      <c r="M58" s="1">
        <v>4</v>
      </c>
      <c r="N58" s="1">
        <v>4</v>
      </c>
      <c r="O58" s="3">
        <v>46218.365277777782</v>
      </c>
      <c r="P58" s="3">
        <v>46218.372916666667</v>
      </c>
      <c r="Q58" s="1">
        <v>4</v>
      </c>
      <c r="R58" s="1">
        <v>0</v>
      </c>
      <c r="S58" s="1">
        <v>9</v>
      </c>
      <c r="T58" s="1">
        <v>1</v>
      </c>
      <c r="U58" s="1">
        <v>0</v>
      </c>
      <c r="V58" s="1">
        <v>1</v>
      </c>
    </row>
    <row r="59" spans="1:22" ht="22.15" customHeight="1" x14ac:dyDescent="0.2">
      <c r="A59" s="1" t="s">
        <v>120</v>
      </c>
      <c r="B59" s="1">
        <v>6</v>
      </c>
      <c r="C59" s="1">
        <v>3</v>
      </c>
      <c r="D59" s="1">
        <v>2</v>
      </c>
      <c r="E59" s="1">
        <v>3</v>
      </c>
      <c r="F59" s="1">
        <v>3</v>
      </c>
      <c r="G59" s="1">
        <v>3</v>
      </c>
      <c r="H59" s="1">
        <v>2</v>
      </c>
      <c r="I59" s="1">
        <v>2</v>
      </c>
      <c r="J59" s="1">
        <v>3</v>
      </c>
      <c r="K59" s="1">
        <v>2</v>
      </c>
      <c r="L59" s="1">
        <v>2</v>
      </c>
      <c r="M59" s="1">
        <v>3</v>
      </c>
      <c r="N59" s="1">
        <v>4</v>
      </c>
      <c r="O59" s="3">
        <v>46228.4</v>
      </c>
      <c r="P59" s="3">
        <v>46228.407638888893</v>
      </c>
      <c r="Q59" s="1">
        <v>6</v>
      </c>
      <c r="R59" s="1">
        <v>4</v>
      </c>
      <c r="S59" s="1">
        <v>6</v>
      </c>
      <c r="T59" s="1">
        <v>0</v>
      </c>
      <c r="U59" s="1">
        <v>1</v>
      </c>
      <c r="V59" s="1">
        <v>0</v>
      </c>
    </row>
    <row r="60" spans="1:22" ht="22.15" customHeight="1" x14ac:dyDescent="0.2">
      <c r="A60" s="1" t="s">
        <v>121</v>
      </c>
      <c r="B60" s="1">
        <v>6</v>
      </c>
      <c r="C60" s="1">
        <v>3</v>
      </c>
      <c r="D60" s="1">
        <v>3</v>
      </c>
      <c r="E60" s="1">
        <v>3</v>
      </c>
      <c r="F60" s="1">
        <v>3</v>
      </c>
      <c r="G60" s="1">
        <v>3</v>
      </c>
      <c r="H60" s="1">
        <v>4</v>
      </c>
      <c r="I60" s="1">
        <v>4</v>
      </c>
      <c r="J60" s="1">
        <v>4</v>
      </c>
      <c r="K60" s="1">
        <v>3</v>
      </c>
      <c r="L60" s="1">
        <v>5</v>
      </c>
      <c r="M60" s="1">
        <v>3</v>
      </c>
      <c r="N60" s="1">
        <v>3</v>
      </c>
      <c r="O60" s="3">
        <v>46225.572916666657</v>
      </c>
      <c r="P60" s="3">
        <v>46225.581944444442</v>
      </c>
      <c r="Q60" s="1">
        <v>5</v>
      </c>
      <c r="R60" s="1">
        <v>0</v>
      </c>
      <c r="S60" s="1">
        <v>6</v>
      </c>
      <c r="T60" s="1">
        <v>1</v>
      </c>
      <c r="U60" s="1">
        <v>1</v>
      </c>
      <c r="V60" s="1">
        <v>1</v>
      </c>
    </row>
    <row r="61" spans="1:22" ht="22.15" customHeight="1" x14ac:dyDescent="0.2">
      <c r="A61" s="1" t="s">
        <v>122</v>
      </c>
      <c r="B61" s="1">
        <v>5</v>
      </c>
      <c r="C61" s="1">
        <v>3</v>
      </c>
      <c r="D61" s="1">
        <v>2</v>
      </c>
      <c r="E61" s="1">
        <v>3</v>
      </c>
      <c r="F61" s="1">
        <v>2</v>
      </c>
      <c r="G61" s="1">
        <v>2</v>
      </c>
      <c r="H61" s="1">
        <v>2</v>
      </c>
      <c r="I61" s="1">
        <v>1</v>
      </c>
      <c r="J61" s="1">
        <v>5</v>
      </c>
      <c r="K61" s="1">
        <v>2</v>
      </c>
      <c r="L61" s="1">
        <v>2</v>
      </c>
      <c r="M61" s="1">
        <v>3</v>
      </c>
      <c r="N61" s="1">
        <v>4</v>
      </c>
      <c r="O61" s="3">
        <v>46206.430555555547</v>
      </c>
      <c r="P61" s="3">
        <v>46206.435416666667</v>
      </c>
      <c r="Q61" s="1">
        <v>4</v>
      </c>
      <c r="R61" s="1">
        <v>0</v>
      </c>
      <c r="S61" s="1">
        <v>2</v>
      </c>
      <c r="T61" s="1">
        <v>1</v>
      </c>
      <c r="U61" s="1">
        <v>1</v>
      </c>
      <c r="V61" s="1">
        <v>0</v>
      </c>
    </row>
    <row r="62" spans="1:22" ht="22.15" customHeight="1" x14ac:dyDescent="0.2">
      <c r="A62" s="1" t="s">
        <v>123</v>
      </c>
      <c r="B62" s="1">
        <v>5</v>
      </c>
      <c r="C62" s="1">
        <v>3</v>
      </c>
      <c r="D62" s="1">
        <v>2</v>
      </c>
      <c r="E62" s="1">
        <v>2</v>
      </c>
      <c r="F62" s="1">
        <v>1</v>
      </c>
      <c r="G62" s="1">
        <v>3</v>
      </c>
      <c r="H62" s="1">
        <v>1</v>
      </c>
      <c r="I62" s="1">
        <v>3</v>
      </c>
      <c r="J62" s="1">
        <v>3</v>
      </c>
      <c r="K62" s="1">
        <v>1</v>
      </c>
      <c r="L62" s="1">
        <v>2</v>
      </c>
      <c r="M62" s="1">
        <v>3</v>
      </c>
      <c r="N62" s="1">
        <v>6</v>
      </c>
      <c r="O62" s="3">
        <v>46221.505555555559</v>
      </c>
      <c r="P62" s="3">
        <v>46221.513888888891</v>
      </c>
      <c r="Q62" s="1">
        <v>5</v>
      </c>
      <c r="R62" s="1">
        <v>2</v>
      </c>
      <c r="S62" s="1">
        <v>1</v>
      </c>
      <c r="T62" s="1">
        <v>1</v>
      </c>
      <c r="U62" s="1">
        <v>0</v>
      </c>
      <c r="V62" s="1">
        <v>1</v>
      </c>
    </row>
    <row r="63" spans="1:22" ht="22.15" customHeight="1" x14ac:dyDescent="0.2">
      <c r="A63" s="1" t="s">
        <v>124</v>
      </c>
      <c r="B63" s="1">
        <v>5</v>
      </c>
      <c r="C63" s="1">
        <v>3</v>
      </c>
      <c r="D63" s="1">
        <v>2</v>
      </c>
      <c r="E63" s="1">
        <v>2</v>
      </c>
      <c r="F63" s="1">
        <v>3</v>
      </c>
      <c r="G63" s="1">
        <v>1</v>
      </c>
      <c r="H63" s="1">
        <v>2</v>
      </c>
      <c r="I63" s="1">
        <v>3</v>
      </c>
      <c r="J63" s="1">
        <v>2</v>
      </c>
      <c r="K63" s="1">
        <v>1</v>
      </c>
      <c r="L63" s="1">
        <v>2</v>
      </c>
      <c r="M63" s="1">
        <v>2</v>
      </c>
      <c r="N63" s="1">
        <v>6</v>
      </c>
      <c r="O63" s="3">
        <v>46229.767361111109</v>
      </c>
      <c r="P63" s="3">
        <v>46229.77847222222</v>
      </c>
      <c r="Q63" s="1">
        <v>5</v>
      </c>
      <c r="R63" s="1">
        <v>2</v>
      </c>
      <c r="S63" s="1">
        <v>4</v>
      </c>
      <c r="T63" s="1">
        <v>1</v>
      </c>
      <c r="U63" s="1">
        <v>0</v>
      </c>
      <c r="V63" s="1">
        <v>0</v>
      </c>
    </row>
    <row r="64" spans="1:22" ht="22.15" customHeight="1" x14ac:dyDescent="0.2">
      <c r="A64" s="1" t="s">
        <v>125</v>
      </c>
      <c r="B64" s="1">
        <v>8</v>
      </c>
      <c r="C64" s="1">
        <v>5</v>
      </c>
      <c r="D64" s="1">
        <v>4</v>
      </c>
      <c r="E64" s="1">
        <v>4</v>
      </c>
      <c r="F64" s="1">
        <v>4</v>
      </c>
      <c r="G64" s="1">
        <v>5</v>
      </c>
      <c r="H64" s="1">
        <v>4</v>
      </c>
      <c r="I64" s="1">
        <v>5</v>
      </c>
      <c r="J64" s="1">
        <v>4</v>
      </c>
      <c r="K64" s="1">
        <v>5</v>
      </c>
      <c r="L64" s="1">
        <v>4</v>
      </c>
      <c r="M64" s="1">
        <v>4</v>
      </c>
      <c r="N64" s="1">
        <v>3</v>
      </c>
      <c r="O64" s="3">
        <v>46231.452777777777</v>
      </c>
      <c r="P64" s="3">
        <v>46231.45416666667</v>
      </c>
      <c r="Q64" s="1">
        <v>5</v>
      </c>
      <c r="R64" s="1">
        <v>0</v>
      </c>
      <c r="S64" s="1">
        <v>9</v>
      </c>
      <c r="T64" s="1">
        <v>1</v>
      </c>
      <c r="U64" s="1">
        <v>1</v>
      </c>
      <c r="V64" s="1">
        <v>1</v>
      </c>
    </row>
    <row r="65" spans="1:22" ht="22.15" customHeight="1" x14ac:dyDescent="0.2">
      <c r="A65" s="1" t="s">
        <v>126</v>
      </c>
      <c r="B65" s="1">
        <v>8</v>
      </c>
      <c r="C65" s="1">
        <v>4</v>
      </c>
      <c r="D65" s="1">
        <v>4</v>
      </c>
      <c r="E65" s="1">
        <v>4</v>
      </c>
      <c r="F65" s="1">
        <v>3</v>
      </c>
      <c r="G65" s="1">
        <v>3</v>
      </c>
      <c r="H65" s="1">
        <v>3</v>
      </c>
      <c r="I65" s="1">
        <v>4</v>
      </c>
      <c r="J65" s="1">
        <v>3</v>
      </c>
      <c r="K65" s="1">
        <v>4</v>
      </c>
      <c r="L65" s="1">
        <v>3</v>
      </c>
      <c r="M65" s="1">
        <v>3</v>
      </c>
      <c r="N65" s="1">
        <v>5</v>
      </c>
      <c r="O65" s="3">
        <v>46216.35833333333</v>
      </c>
      <c r="P65" s="3">
        <v>46216.361805555563</v>
      </c>
      <c r="Q65" s="1">
        <v>3</v>
      </c>
      <c r="R65" s="1">
        <v>0</v>
      </c>
      <c r="S65" s="1">
        <v>6</v>
      </c>
      <c r="T65" s="1">
        <v>1</v>
      </c>
      <c r="U65" s="1">
        <v>0</v>
      </c>
      <c r="V65" s="1">
        <v>1</v>
      </c>
    </row>
    <row r="66" spans="1:22" ht="22.15" customHeight="1" x14ac:dyDescent="0.2">
      <c r="A66" s="1" t="s">
        <v>127</v>
      </c>
      <c r="B66" s="1">
        <v>6</v>
      </c>
      <c r="C66" s="1">
        <v>4</v>
      </c>
      <c r="D66" s="1">
        <v>4</v>
      </c>
      <c r="E66" s="1">
        <v>3</v>
      </c>
      <c r="F66" s="1">
        <v>3</v>
      </c>
      <c r="G66" s="1">
        <v>3</v>
      </c>
      <c r="H66" s="1">
        <v>2</v>
      </c>
      <c r="I66" s="1">
        <v>3</v>
      </c>
      <c r="J66" s="1">
        <v>3</v>
      </c>
      <c r="K66" s="1">
        <v>3</v>
      </c>
      <c r="L66" s="1">
        <v>3</v>
      </c>
      <c r="M66" s="1">
        <v>2</v>
      </c>
      <c r="N66" s="1">
        <v>5</v>
      </c>
      <c r="O66" s="3">
        <v>46220.631249999999</v>
      </c>
      <c r="P66" s="3">
        <v>46220.636111111111</v>
      </c>
      <c r="Q66" s="1">
        <v>4</v>
      </c>
      <c r="R66" s="1">
        <v>1</v>
      </c>
      <c r="S66" s="1">
        <v>5</v>
      </c>
      <c r="T66" s="1">
        <v>1</v>
      </c>
      <c r="U66" s="1">
        <v>0</v>
      </c>
      <c r="V66" s="1">
        <v>1</v>
      </c>
    </row>
    <row r="67" spans="1:22" ht="22.15" customHeight="1" x14ac:dyDescent="0.2">
      <c r="A67" s="1" t="s">
        <v>128</v>
      </c>
      <c r="B67" s="1">
        <v>5</v>
      </c>
      <c r="C67" s="1">
        <v>3</v>
      </c>
      <c r="D67" s="1">
        <v>2</v>
      </c>
      <c r="E67" s="1">
        <v>2</v>
      </c>
      <c r="F67" s="1">
        <v>1</v>
      </c>
      <c r="G67" s="1">
        <v>2</v>
      </c>
      <c r="H67" s="1">
        <v>2</v>
      </c>
      <c r="I67" s="1">
        <v>2</v>
      </c>
      <c r="J67" s="1">
        <v>2</v>
      </c>
      <c r="K67" s="1">
        <v>3</v>
      </c>
      <c r="L67" s="1">
        <v>3</v>
      </c>
      <c r="M67" s="1">
        <v>4</v>
      </c>
      <c r="N67" s="1">
        <v>5</v>
      </c>
      <c r="O67" s="3">
        <v>46228.73333333333</v>
      </c>
      <c r="P67" s="3">
        <v>46228.740277777782</v>
      </c>
      <c r="Q67" s="1">
        <v>5</v>
      </c>
      <c r="R67" s="1">
        <v>0</v>
      </c>
      <c r="S67" s="1">
        <v>5</v>
      </c>
      <c r="T67" s="1">
        <v>0</v>
      </c>
      <c r="U67" s="1">
        <v>1</v>
      </c>
      <c r="V67" s="1">
        <v>1</v>
      </c>
    </row>
    <row r="68" spans="1:22" ht="22.15" customHeight="1" x14ac:dyDescent="0.2">
      <c r="A68" s="1" t="s">
        <v>129</v>
      </c>
      <c r="B68" s="1">
        <v>8</v>
      </c>
      <c r="C68" s="1">
        <v>4</v>
      </c>
      <c r="D68" s="1">
        <v>4</v>
      </c>
      <c r="E68" s="1">
        <v>4</v>
      </c>
      <c r="F68" s="1">
        <v>3</v>
      </c>
      <c r="G68" s="1">
        <v>4</v>
      </c>
      <c r="H68" s="1">
        <v>3</v>
      </c>
      <c r="I68" s="1">
        <v>4</v>
      </c>
      <c r="J68" s="1">
        <v>4</v>
      </c>
      <c r="K68" s="1">
        <v>3</v>
      </c>
      <c r="L68" s="1">
        <v>3</v>
      </c>
      <c r="M68" s="1">
        <v>4</v>
      </c>
      <c r="N68" s="1">
        <v>3</v>
      </c>
      <c r="O68" s="3">
        <v>46225.647916666669</v>
      </c>
      <c r="P68" s="3">
        <v>46225.649305555547</v>
      </c>
      <c r="Q68" s="1">
        <v>6</v>
      </c>
      <c r="R68" s="1">
        <v>0</v>
      </c>
      <c r="S68" s="1">
        <v>9</v>
      </c>
      <c r="T68" s="1">
        <v>1</v>
      </c>
      <c r="U68" s="1">
        <v>0</v>
      </c>
      <c r="V68" s="1">
        <v>1</v>
      </c>
    </row>
    <row r="69" spans="1:22" ht="22.15" customHeight="1" x14ac:dyDescent="0.2">
      <c r="A69" s="1" t="s">
        <v>130</v>
      </c>
      <c r="B69" s="1">
        <v>5</v>
      </c>
      <c r="C69" s="1">
        <v>4</v>
      </c>
      <c r="D69" s="1">
        <v>3</v>
      </c>
      <c r="E69" s="1">
        <v>2</v>
      </c>
      <c r="F69" s="1">
        <v>2</v>
      </c>
      <c r="G69" s="1">
        <v>2</v>
      </c>
      <c r="H69" s="1">
        <v>3</v>
      </c>
      <c r="I69" s="1">
        <v>1</v>
      </c>
      <c r="J69" s="1">
        <v>2</v>
      </c>
      <c r="K69" s="1">
        <v>3</v>
      </c>
      <c r="L69" s="1">
        <v>2</v>
      </c>
      <c r="M69" s="1">
        <v>2</v>
      </c>
      <c r="N69" s="1">
        <v>6</v>
      </c>
      <c r="O69" s="3">
        <v>46232.619444444441</v>
      </c>
      <c r="P69" s="3">
        <v>46232.625694444447</v>
      </c>
      <c r="Q69" s="1">
        <v>4</v>
      </c>
      <c r="R69" s="1">
        <v>3</v>
      </c>
      <c r="S69" s="1">
        <v>8</v>
      </c>
      <c r="T69" s="1">
        <v>0</v>
      </c>
      <c r="U69" s="1">
        <v>1</v>
      </c>
      <c r="V69" s="1">
        <v>1</v>
      </c>
    </row>
    <row r="70" spans="1:22" ht="22.15" customHeight="1" x14ac:dyDescent="0.2">
      <c r="A70" s="1" t="s">
        <v>131</v>
      </c>
      <c r="B70" s="1">
        <v>10</v>
      </c>
      <c r="C70" s="1">
        <v>4</v>
      </c>
      <c r="D70" s="1">
        <v>3</v>
      </c>
      <c r="E70" s="1">
        <v>4</v>
      </c>
      <c r="F70" s="1">
        <v>3</v>
      </c>
      <c r="G70" s="1">
        <v>3</v>
      </c>
      <c r="H70" s="1">
        <v>5</v>
      </c>
      <c r="I70" s="1">
        <v>4</v>
      </c>
      <c r="J70" s="1">
        <v>4</v>
      </c>
      <c r="K70" s="1">
        <v>4</v>
      </c>
      <c r="L70" s="1">
        <v>4</v>
      </c>
      <c r="M70" s="1">
        <v>4</v>
      </c>
      <c r="N70" s="1">
        <v>4</v>
      </c>
      <c r="O70" s="3">
        <v>46219.404861111107</v>
      </c>
      <c r="P70" s="3">
        <v>46219.410416666673</v>
      </c>
      <c r="Q70" s="1">
        <v>4</v>
      </c>
      <c r="R70" s="1">
        <v>0</v>
      </c>
      <c r="S70" s="1">
        <v>9</v>
      </c>
      <c r="T70" s="1">
        <v>1</v>
      </c>
      <c r="U70" s="1">
        <v>0</v>
      </c>
      <c r="V70" s="1">
        <v>1</v>
      </c>
    </row>
    <row r="71" spans="1:22" ht="22.15" customHeight="1" x14ac:dyDescent="0.2">
      <c r="A71" s="1" t="s">
        <v>132</v>
      </c>
      <c r="B71" s="1">
        <v>4</v>
      </c>
      <c r="C71" s="1">
        <v>2</v>
      </c>
      <c r="D71" s="1">
        <v>3</v>
      </c>
      <c r="E71" s="1">
        <v>2</v>
      </c>
      <c r="F71" s="1">
        <v>2</v>
      </c>
      <c r="G71" s="1">
        <v>4</v>
      </c>
      <c r="H71" s="1">
        <v>2</v>
      </c>
      <c r="I71" s="1">
        <v>3</v>
      </c>
      <c r="J71" s="1">
        <v>4</v>
      </c>
      <c r="K71" s="1">
        <v>3</v>
      </c>
      <c r="L71" s="1">
        <v>4</v>
      </c>
      <c r="M71" s="1">
        <v>3</v>
      </c>
      <c r="N71" s="1">
        <v>5</v>
      </c>
      <c r="O71" s="3">
        <v>46219.457638888889</v>
      </c>
      <c r="P71" s="3">
        <v>46219.465277777781</v>
      </c>
      <c r="Q71" s="1">
        <v>5</v>
      </c>
      <c r="R71" s="1">
        <v>3</v>
      </c>
      <c r="S71" s="1">
        <v>1</v>
      </c>
      <c r="T71" s="1">
        <v>1</v>
      </c>
      <c r="U71" s="1">
        <v>1</v>
      </c>
      <c r="V71" s="1">
        <v>1</v>
      </c>
    </row>
    <row r="72" spans="1:22" ht="22.15" customHeight="1" x14ac:dyDescent="0.2">
      <c r="A72" s="1" t="s">
        <v>133</v>
      </c>
      <c r="B72" s="1">
        <v>3</v>
      </c>
      <c r="C72" s="1">
        <v>3</v>
      </c>
      <c r="D72" s="1">
        <v>2</v>
      </c>
      <c r="E72" s="1">
        <v>3</v>
      </c>
      <c r="F72" s="1">
        <v>1</v>
      </c>
      <c r="G72" s="1">
        <v>3</v>
      </c>
      <c r="H72" s="1">
        <v>1</v>
      </c>
      <c r="I72" s="1">
        <v>1</v>
      </c>
      <c r="J72" s="1">
        <v>2</v>
      </c>
      <c r="K72" s="1">
        <v>2</v>
      </c>
      <c r="L72" s="1">
        <v>1</v>
      </c>
      <c r="M72" s="1">
        <v>3</v>
      </c>
      <c r="N72" s="1">
        <v>6</v>
      </c>
      <c r="O72" s="3">
        <v>46210.443749999999</v>
      </c>
      <c r="P72" s="3">
        <v>46210.456944444442</v>
      </c>
      <c r="Q72" s="1">
        <v>4</v>
      </c>
      <c r="R72" s="1">
        <v>1</v>
      </c>
      <c r="S72" s="1">
        <v>2</v>
      </c>
      <c r="T72" s="1">
        <v>1</v>
      </c>
      <c r="U72" s="1">
        <v>1</v>
      </c>
      <c r="V72" s="1">
        <v>1</v>
      </c>
    </row>
    <row r="73" spans="1:22" ht="22.15" customHeight="1" x14ac:dyDescent="0.2">
      <c r="A73" s="1" t="s">
        <v>134</v>
      </c>
      <c r="B73" s="1">
        <v>8</v>
      </c>
      <c r="C73" s="1">
        <v>5</v>
      </c>
      <c r="D73" s="1">
        <v>3</v>
      </c>
      <c r="E73" s="1">
        <v>4</v>
      </c>
      <c r="F73" s="1">
        <v>3</v>
      </c>
      <c r="G73" s="1">
        <v>3</v>
      </c>
      <c r="H73" s="1">
        <v>3</v>
      </c>
      <c r="I73" s="1">
        <v>4</v>
      </c>
      <c r="J73" s="1">
        <v>4</v>
      </c>
      <c r="K73" s="1">
        <v>3</v>
      </c>
      <c r="L73" s="1">
        <v>4</v>
      </c>
      <c r="M73" s="1">
        <v>2</v>
      </c>
      <c r="N73" s="1">
        <v>4</v>
      </c>
      <c r="O73" s="3">
        <v>46226.530555555553</v>
      </c>
      <c r="P73" s="3">
        <v>46226.535416666673</v>
      </c>
      <c r="Q73" s="1">
        <v>6</v>
      </c>
      <c r="R73" s="1">
        <v>2</v>
      </c>
      <c r="S73" s="1">
        <v>10</v>
      </c>
      <c r="T73" s="1">
        <v>1</v>
      </c>
      <c r="U73" s="1">
        <v>1</v>
      </c>
      <c r="V73" s="1">
        <v>1</v>
      </c>
    </row>
    <row r="74" spans="1:22" ht="22.15" customHeight="1" x14ac:dyDescent="0.2">
      <c r="A74" s="1" t="s">
        <v>135</v>
      </c>
      <c r="B74" s="1">
        <v>2</v>
      </c>
      <c r="C74" s="1">
        <v>2</v>
      </c>
      <c r="D74" s="1">
        <v>1</v>
      </c>
      <c r="E74" s="1">
        <v>2</v>
      </c>
      <c r="F74" s="1">
        <v>1</v>
      </c>
      <c r="G74" s="1">
        <v>1</v>
      </c>
      <c r="H74" s="1">
        <v>1</v>
      </c>
      <c r="I74" s="1">
        <v>1</v>
      </c>
      <c r="J74" s="1">
        <v>2</v>
      </c>
      <c r="K74" s="1">
        <v>2</v>
      </c>
      <c r="L74" s="1">
        <v>2</v>
      </c>
      <c r="M74" s="1">
        <v>1</v>
      </c>
      <c r="N74" s="1">
        <v>6</v>
      </c>
      <c r="O74" s="3">
        <v>46220.48333333333</v>
      </c>
      <c r="P74" s="3">
        <v>46220.494444444441</v>
      </c>
      <c r="Q74" s="1">
        <v>6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</row>
    <row r="75" spans="1:22" ht="22.15" customHeight="1" x14ac:dyDescent="0.2">
      <c r="A75" s="1" t="s">
        <v>136</v>
      </c>
      <c r="B75" s="1">
        <v>6</v>
      </c>
      <c r="C75" s="1">
        <v>3</v>
      </c>
      <c r="D75" s="1">
        <v>3</v>
      </c>
      <c r="E75" s="1">
        <v>3</v>
      </c>
      <c r="F75" s="1">
        <v>3</v>
      </c>
      <c r="G75" s="1">
        <v>3</v>
      </c>
      <c r="H75" s="1">
        <v>4</v>
      </c>
      <c r="I75" s="1">
        <v>2</v>
      </c>
      <c r="J75" s="1">
        <v>4</v>
      </c>
      <c r="K75" s="1">
        <v>3</v>
      </c>
      <c r="L75" s="1">
        <v>3</v>
      </c>
      <c r="M75" s="1">
        <v>5</v>
      </c>
      <c r="N75" s="1">
        <v>4</v>
      </c>
      <c r="O75" s="3">
        <v>46219.345833333333</v>
      </c>
      <c r="P75" s="3">
        <v>46219.347916666673</v>
      </c>
      <c r="Q75" s="1">
        <v>2</v>
      </c>
      <c r="R75" s="1">
        <v>0</v>
      </c>
      <c r="S75" s="1">
        <v>8</v>
      </c>
      <c r="T75" s="1">
        <v>1</v>
      </c>
      <c r="U75" s="1">
        <v>1</v>
      </c>
      <c r="V75" s="1">
        <v>0</v>
      </c>
    </row>
    <row r="76" spans="1:22" ht="22.15" customHeight="1" x14ac:dyDescent="0.2">
      <c r="A76" s="1" t="s">
        <v>137</v>
      </c>
      <c r="B76" s="1">
        <v>6</v>
      </c>
      <c r="C76" s="1">
        <v>3</v>
      </c>
      <c r="D76" s="1">
        <v>2</v>
      </c>
      <c r="E76" s="1">
        <v>1</v>
      </c>
      <c r="F76" s="1">
        <v>1</v>
      </c>
      <c r="G76" s="1">
        <v>2</v>
      </c>
      <c r="H76" s="1">
        <v>2</v>
      </c>
      <c r="I76" s="1">
        <v>2</v>
      </c>
      <c r="J76" s="1">
        <v>1</v>
      </c>
      <c r="K76" s="1">
        <v>2</v>
      </c>
      <c r="L76" s="1">
        <v>2</v>
      </c>
      <c r="M76" s="1">
        <v>2</v>
      </c>
      <c r="N76" s="1">
        <v>5</v>
      </c>
      <c r="O76" s="3">
        <v>46204.34652777778</v>
      </c>
      <c r="P76" s="3">
        <v>46204.352777777778</v>
      </c>
      <c r="Q76" s="1">
        <v>6</v>
      </c>
      <c r="R76" s="1">
        <v>3</v>
      </c>
      <c r="S76" s="1">
        <v>6</v>
      </c>
      <c r="T76" s="1">
        <v>1</v>
      </c>
      <c r="U76" s="1">
        <v>0</v>
      </c>
      <c r="V76" s="1">
        <v>1</v>
      </c>
    </row>
    <row r="77" spans="1:22" ht="22.15" customHeight="1" x14ac:dyDescent="0.2">
      <c r="A77" s="1" t="s">
        <v>138</v>
      </c>
      <c r="B77" s="1">
        <v>7</v>
      </c>
      <c r="C77" s="1">
        <v>2</v>
      </c>
      <c r="D77" s="1">
        <v>3</v>
      </c>
      <c r="E77" s="1">
        <v>2</v>
      </c>
      <c r="F77" s="1">
        <v>2</v>
      </c>
      <c r="G77" s="1">
        <v>2</v>
      </c>
      <c r="H77" s="1">
        <v>1</v>
      </c>
      <c r="I77" s="1">
        <v>2</v>
      </c>
      <c r="J77" s="1">
        <v>3</v>
      </c>
      <c r="K77" s="1">
        <v>2</v>
      </c>
      <c r="L77" s="1">
        <v>3</v>
      </c>
      <c r="M77" s="1">
        <v>2</v>
      </c>
      <c r="N77" s="1">
        <v>5</v>
      </c>
      <c r="O77" s="3">
        <v>46208.679166666669</v>
      </c>
      <c r="P77" s="3">
        <v>46208.684027777781</v>
      </c>
      <c r="Q77" s="1">
        <v>6</v>
      </c>
      <c r="R77" s="1">
        <v>1</v>
      </c>
      <c r="S77" s="1">
        <v>9</v>
      </c>
      <c r="T77" s="1">
        <v>0</v>
      </c>
      <c r="U77" s="1">
        <v>1</v>
      </c>
      <c r="V77" s="1">
        <v>1</v>
      </c>
    </row>
    <row r="78" spans="1:22" ht="22.15" customHeight="1" x14ac:dyDescent="0.2">
      <c r="A78" s="1" t="s">
        <v>139</v>
      </c>
      <c r="B78" s="1">
        <v>8</v>
      </c>
      <c r="C78" s="1">
        <v>3</v>
      </c>
      <c r="D78" s="1">
        <v>4</v>
      </c>
      <c r="E78" s="1">
        <v>4</v>
      </c>
      <c r="F78" s="1">
        <v>3</v>
      </c>
      <c r="G78" s="1">
        <v>3</v>
      </c>
      <c r="H78" s="1">
        <v>3</v>
      </c>
      <c r="I78" s="1">
        <v>4</v>
      </c>
      <c r="J78" s="1">
        <v>2</v>
      </c>
      <c r="K78" s="1">
        <v>4</v>
      </c>
      <c r="L78" s="1">
        <v>3</v>
      </c>
      <c r="M78" s="1">
        <v>2</v>
      </c>
      <c r="N78" s="1">
        <v>3</v>
      </c>
      <c r="O78" s="3">
        <v>46213.59097222222</v>
      </c>
      <c r="P78" s="3">
        <v>46213.597916666673</v>
      </c>
      <c r="Q78" s="1">
        <v>3</v>
      </c>
      <c r="R78" s="1">
        <v>0</v>
      </c>
      <c r="S78" s="1">
        <v>7</v>
      </c>
      <c r="T78" s="1">
        <v>1</v>
      </c>
      <c r="U78" s="1">
        <v>0</v>
      </c>
      <c r="V78" s="1">
        <v>1</v>
      </c>
    </row>
    <row r="79" spans="1:22" ht="22.15" customHeight="1" x14ac:dyDescent="0.2">
      <c r="A79" s="1" t="s">
        <v>140</v>
      </c>
      <c r="B79" s="1">
        <v>4</v>
      </c>
      <c r="C79" s="1">
        <v>3</v>
      </c>
      <c r="D79" s="1">
        <v>3</v>
      </c>
      <c r="E79" s="1">
        <v>3</v>
      </c>
      <c r="F79" s="1">
        <v>1</v>
      </c>
      <c r="G79" s="1">
        <v>3</v>
      </c>
      <c r="H79" s="1">
        <v>2</v>
      </c>
      <c r="I79" s="1">
        <v>2</v>
      </c>
      <c r="J79" s="1">
        <v>2</v>
      </c>
      <c r="K79" s="1">
        <v>1</v>
      </c>
      <c r="L79" s="1">
        <v>1</v>
      </c>
      <c r="M79" s="1">
        <v>2</v>
      </c>
      <c r="N79" s="1">
        <v>6</v>
      </c>
      <c r="O79" s="3">
        <v>46228.740277777782</v>
      </c>
      <c r="P79" s="3">
        <v>46228.75</v>
      </c>
      <c r="Q79" s="1">
        <v>5</v>
      </c>
      <c r="R79" s="1">
        <v>3</v>
      </c>
      <c r="S79" s="1">
        <v>1</v>
      </c>
      <c r="T79" s="1">
        <v>1</v>
      </c>
      <c r="U79" s="1">
        <v>0</v>
      </c>
      <c r="V79" s="1">
        <v>0</v>
      </c>
    </row>
    <row r="80" spans="1:22" ht="22.15" customHeight="1" x14ac:dyDescent="0.2">
      <c r="A80" s="1" t="s">
        <v>141</v>
      </c>
      <c r="B80" s="1">
        <v>5</v>
      </c>
      <c r="C80" s="1">
        <v>3</v>
      </c>
      <c r="D80" s="1">
        <v>3</v>
      </c>
      <c r="E80" s="1">
        <v>4</v>
      </c>
      <c r="F80" s="1">
        <v>3</v>
      </c>
      <c r="G80" s="1">
        <v>4</v>
      </c>
      <c r="H80" s="1">
        <v>2</v>
      </c>
      <c r="I80" s="1">
        <v>3</v>
      </c>
      <c r="J80" s="1">
        <v>3</v>
      </c>
      <c r="K80" s="1">
        <v>4</v>
      </c>
      <c r="L80" s="1">
        <v>4</v>
      </c>
      <c r="M80" s="1">
        <v>3</v>
      </c>
      <c r="N80" s="1">
        <v>3</v>
      </c>
      <c r="O80" s="3">
        <v>46229.658333333333</v>
      </c>
      <c r="P80" s="3">
        <v>46229.667361111111</v>
      </c>
      <c r="Q80" s="1">
        <v>2</v>
      </c>
      <c r="R80" s="1">
        <v>0</v>
      </c>
      <c r="S80" s="1">
        <v>5</v>
      </c>
      <c r="T80" s="1">
        <v>1</v>
      </c>
      <c r="U80" s="1">
        <v>1</v>
      </c>
      <c r="V80" s="1">
        <v>0</v>
      </c>
    </row>
    <row r="81" spans="1:22" ht="22.15" customHeight="1" x14ac:dyDescent="0.2">
      <c r="A81" s="1" t="s">
        <v>142</v>
      </c>
      <c r="B81" s="1">
        <v>6</v>
      </c>
      <c r="C81" s="1">
        <v>3</v>
      </c>
      <c r="D81" s="1">
        <v>3</v>
      </c>
      <c r="E81" s="1">
        <v>2</v>
      </c>
      <c r="F81" s="1">
        <v>4</v>
      </c>
      <c r="G81" s="1">
        <v>2</v>
      </c>
      <c r="H81" s="1">
        <v>3</v>
      </c>
      <c r="I81" s="1">
        <v>3</v>
      </c>
      <c r="J81" s="1">
        <v>3</v>
      </c>
      <c r="K81" s="1">
        <v>4</v>
      </c>
      <c r="L81" s="1">
        <v>1</v>
      </c>
      <c r="M81" s="1">
        <v>3</v>
      </c>
      <c r="N81" s="1">
        <v>4</v>
      </c>
      <c r="O81" s="3">
        <v>46209.548611111109</v>
      </c>
      <c r="P81" s="3">
        <v>46209.553472222222</v>
      </c>
      <c r="Q81" s="1">
        <v>6</v>
      </c>
      <c r="R81" s="1">
        <v>1</v>
      </c>
      <c r="S81" s="1">
        <v>8</v>
      </c>
      <c r="T81" s="1">
        <v>1</v>
      </c>
      <c r="U81" s="1">
        <v>0</v>
      </c>
      <c r="V81" s="1">
        <v>1</v>
      </c>
    </row>
    <row r="82" spans="1:22" ht="22.15" customHeight="1" x14ac:dyDescent="0.2">
      <c r="A82" s="1" t="s">
        <v>143</v>
      </c>
      <c r="B82" s="1">
        <v>10</v>
      </c>
      <c r="C82" s="1">
        <v>5</v>
      </c>
      <c r="D82" s="1">
        <v>5</v>
      </c>
      <c r="E82" s="1">
        <v>5</v>
      </c>
      <c r="F82" s="1">
        <v>4</v>
      </c>
      <c r="G82" s="1">
        <v>4</v>
      </c>
      <c r="H82" s="1">
        <v>3</v>
      </c>
      <c r="I82" s="1">
        <v>3</v>
      </c>
      <c r="J82" s="1">
        <v>5</v>
      </c>
      <c r="K82" s="1">
        <v>4</v>
      </c>
      <c r="L82" s="1">
        <v>5</v>
      </c>
      <c r="M82" s="1">
        <v>4</v>
      </c>
      <c r="N82" s="1">
        <v>2</v>
      </c>
      <c r="O82" s="3">
        <v>46217.334027777782</v>
      </c>
      <c r="P82" s="3">
        <v>46217.335416666669</v>
      </c>
      <c r="Q82" s="1">
        <v>3</v>
      </c>
      <c r="R82" s="1">
        <v>1</v>
      </c>
      <c r="S82" s="1">
        <v>8</v>
      </c>
      <c r="T82" s="1">
        <v>1</v>
      </c>
      <c r="U82" s="1">
        <v>1</v>
      </c>
      <c r="V82" s="1">
        <v>1</v>
      </c>
    </row>
    <row r="83" spans="1:22" ht="22.15" customHeight="1" x14ac:dyDescent="0.2">
      <c r="A83" s="1" t="s">
        <v>144</v>
      </c>
      <c r="B83" s="1">
        <v>5</v>
      </c>
      <c r="C83" s="1">
        <v>3</v>
      </c>
      <c r="D83" s="1">
        <v>2</v>
      </c>
      <c r="E83" s="1">
        <v>2</v>
      </c>
      <c r="F83" s="1">
        <v>3</v>
      </c>
      <c r="G83" s="1">
        <v>2</v>
      </c>
      <c r="H83" s="1">
        <v>3</v>
      </c>
      <c r="I83" s="1">
        <v>1</v>
      </c>
      <c r="J83" s="1">
        <v>1</v>
      </c>
      <c r="K83" s="1">
        <v>2</v>
      </c>
      <c r="L83" s="1">
        <v>3</v>
      </c>
      <c r="M83" s="1">
        <v>3</v>
      </c>
      <c r="N83" s="1">
        <v>4</v>
      </c>
      <c r="O83" s="3">
        <v>46231.783333333333</v>
      </c>
      <c r="P83" s="3">
        <v>46231.790277777778</v>
      </c>
      <c r="Q83" s="1">
        <v>7</v>
      </c>
      <c r="R83" s="1">
        <v>1</v>
      </c>
      <c r="S83" s="1">
        <v>3</v>
      </c>
      <c r="T83" s="1">
        <v>1</v>
      </c>
      <c r="U83" s="1">
        <v>0</v>
      </c>
      <c r="V83" s="1">
        <v>0</v>
      </c>
    </row>
    <row r="84" spans="1:22" ht="22.15" customHeight="1" x14ac:dyDescent="0.2">
      <c r="A84" s="1" t="s">
        <v>145</v>
      </c>
      <c r="B84" s="1">
        <v>9</v>
      </c>
      <c r="C84" s="1">
        <v>5</v>
      </c>
      <c r="D84" s="1">
        <v>4</v>
      </c>
      <c r="E84" s="1">
        <v>4</v>
      </c>
      <c r="F84" s="1">
        <v>4</v>
      </c>
      <c r="G84" s="1">
        <v>5</v>
      </c>
      <c r="H84" s="1">
        <v>4</v>
      </c>
      <c r="I84" s="1">
        <v>4</v>
      </c>
      <c r="J84" s="1">
        <v>4</v>
      </c>
      <c r="K84" s="1">
        <v>4</v>
      </c>
      <c r="L84" s="1">
        <v>5</v>
      </c>
      <c r="M84" s="1">
        <v>5</v>
      </c>
      <c r="N84" s="1">
        <v>4</v>
      </c>
      <c r="O84" s="3">
        <v>46204.484027777777</v>
      </c>
      <c r="P84" s="3">
        <v>46204.488888888889</v>
      </c>
      <c r="Q84" s="1">
        <v>5</v>
      </c>
      <c r="R84" s="1">
        <v>0</v>
      </c>
      <c r="S84" s="1">
        <v>12</v>
      </c>
      <c r="T84" s="1">
        <v>1</v>
      </c>
      <c r="U84" s="1">
        <v>1</v>
      </c>
      <c r="V84" s="1">
        <v>1</v>
      </c>
    </row>
    <row r="85" spans="1:22" ht="22.15" customHeight="1" x14ac:dyDescent="0.2">
      <c r="A85" s="1" t="s">
        <v>146</v>
      </c>
      <c r="B85" s="1">
        <v>5</v>
      </c>
      <c r="C85" s="1">
        <v>2</v>
      </c>
      <c r="D85" s="1">
        <v>3</v>
      </c>
      <c r="E85" s="1">
        <v>2</v>
      </c>
      <c r="F85" s="1">
        <v>3</v>
      </c>
      <c r="G85" s="1">
        <v>2</v>
      </c>
      <c r="H85" s="1">
        <v>3</v>
      </c>
      <c r="I85" s="1">
        <v>2</v>
      </c>
      <c r="J85" s="1">
        <v>2</v>
      </c>
      <c r="K85" s="1">
        <v>1</v>
      </c>
      <c r="L85" s="1">
        <v>1</v>
      </c>
      <c r="M85" s="1">
        <v>2</v>
      </c>
      <c r="N85" s="1">
        <v>6</v>
      </c>
      <c r="O85" s="3">
        <v>46229.646527777782</v>
      </c>
      <c r="P85" s="3">
        <v>46229.658333333333</v>
      </c>
      <c r="Q85" s="1">
        <v>6</v>
      </c>
      <c r="R85" s="1">
        <v>2</v>
      </c>
      <c r="S85" s="1">
        <v>6</v>
      </c>
      <c r="T85" s="1">
        <v>1</v>
      </c>
      <c r="U85" s="1">
        <v>1</v>
      </c>
      <c r="V85" s="1">
        <v>1</v>
      </c>
    </row>
    <row r="86" spans="1:22" ht="22.15" customHeight="1" x14ac:dyDescent="0.2">
      <c r="A86" s="1" t="s">
        <v>147</v>
      </c>
      <c r="B86" s="1">
        <v>6</v>
      </c>
      <c r="C86" s="1">
        <v>3</v>
      </c>
      <c r="D86" s="1">
        <v>2</v>
      </c>
      <c r="E86" s="1">
        <v>3</v>
      </c>
      <c r="F86" s="1">
        <v>3</v>
      </c>
      <c r="G86" s="1">
        <v>2</v>
      </c>
      <c r="H86" s="1">
        <v>2</v>
      </c>
      <c r="I86" s="1">
        <v>2</v>
      </c>
      <c r="J86" s="1">
        <v>3</v>
      </c>
      <c r="K86" s="1">
        <v>3</v>
      </c>
      <c r="L86" s="1">
        <v>2</v>
      </c>
      <c r="M86" s="1">
        <v>2</v>
      </c>
      <c r="N86" s="1">
        <v>6</v>
      </c>
      <c r="O86" s="3">
        <v>46207.336805555547</v>
      </c>
      <c r="P86" s="3">
        <v>46207.345138888893</v>
      </c>
      <c r="Q86" s="1">
        <v>6</v>
      </c>
      <c r="R86" s="1">
        <v>3</v>
      </c>
      <c r="S86" s="1">
        <v>8</v>
      </c>
      <c r="T86" s="1">
        <v>0</v>
      </c>
      <c r="U86" s="1">
        <v>1</v>
      </c>
      <c r="V86" s="1">
        <v>1</v>
      </c>
    </row>
    <row r="87" spans="1:22" ht="22.15" customHeight="1" x14ac:dyDescent="0.2">
      <c r="A87" s="1" t="s">
        <v>148</v>
      </c>
      <c r="B87" s="1">
        <v>4</v>
      </c>
      <c r="C87" s="1">
        <v>3</v>
      </c>
      <c r="D87" s="1">
        <v>3</v>
      </c>
      <c r="E87" s="1">
        <v>3</v>
      </c>
      <c r="F87" s="1">
        <v>3</v>
      </c>
      <c r="G87" s="1">
        <v>2</v>
      </c>
      <c r="H87" s="1">
        <v>3</v>
      </c>
      <c r="I87" s="1">
        <v>3</v>
      </c>
      <c r="J87" s="1">
        <v>3</v>
      </c>
      <c r="K87" s="1">
        <v>2</v>
      </c>
      <c r="L87" s="1">
        <v>3</v>
      </c>
      <c r="M87" s="1">
        <v>2</v>
      </c>
      <c r="N87" s="1">
        <v>5</v>
      </c>
      <c r="O87" s="3">
        <v>46207.429861111108</v>
      </c>
      <c r="P87" s="3">
        <v>46207.438194444447</v>
      </c>
      <c r="Q87" s="1">
        <v>7</v>
      </c>
      <c r="R87" s="1">
        <v>0</v>
      </c>
      <c r="S87" s="1">
        <v>4</v>
      </c>
      <c r="T87" s="1">
        <v>1</v>
      </c>
      <c r="U87" s="1">
        <v>1</v>
      </c>
      <c r="V87" s="1">
        <v>1</v>
      </c>
    </row>
    <row r="88" spans="1:22" ht="22.15" customHeight="1" x14ac:dyDescent="0.2">
      <c r="A88" s="1" t="s">
        <v>149</v>
      </c>
      <c r="B88" s="1">
        <v>5</v>
      </c>
      <c r="C88" s="1">
        <v>4</v>
      </c>
      <c r="D88" s="1">
        <v>2</v>
      </c>
      <c r="E88" s="1">
        <v>4</v>
      </c>
      <c r="F88" s="1">
        <v>2</v>
      </c>
      <c r="G88" s="1">
        <v>2</v>
      </c>
      <c r="H88" s="1">
        <v>3</v>
      </c>
      <c r="I88" s="1">
        <v>2</v>
      </c>
      <c r="J88" s="1">
        <v>3</v>
      </c>
      <c r="K88" s="1">
        <v>4</v>
      </c>
      <c r="L88" s="1">
        <v>2</v>
      </c>
      <c r="M88" s="1">
        <v>4</v>
      </c>
      <c r="N88" s="1">
        <v>5</v>
      </c>
      <c r="O88" s="3">
        <v>46210.731944444437</v>
      </c>
      <c r="P88" s="3">
        <v>46210.740277777782</v>
      </c>
      <c r="Q88" s="1">
        <v>7</v>
      </c>
      <c r="R88" s="1">
        <v>3</v>
      </c>
      <c r="S88" s="1">
        <v>8</v>
      </c>
      <c r="T88" s="1">
        <v>1</v>
      </c>
      <c r="U88" s="1">
        <v>1</v>
      </c>
      <c r="V88" s="1">
        <v>1</v>
      </c>
    </row>
    <row r="89" spans="1:22" ht="22.15" customHeight="1" x14ac:dyDescent="0.2">
      <c r="A89" s="1" t="s">
        <v>150</v>
      </c>
      <c r="B89" s="1">
        <v>5</v>
      </c>
      <c r="C89" s="1">
        <v>3</v>
      </c>
      <c r="D89" s="1">
        <v>2</v>
      </c>
      <c r="E89" s="1">
        <v>1</v>
      </c>
      <c r="F89" s="1">
        <v>2</v>
      </c>
      <c r="G89" s="1">
        <v>1</v>
      </c>
      <c r="H89" s="1">
        <v>2</v>
      </c>
      <c r="I89" s="1">
        <v>3</v>
      </c>
      <c r="J89" s="1">
        <v>2</v>
      </c>
      <c r="K89" s="1">
        <v>2</v>
      </c>
      <c r="L89" s="1">
        <v>2</v>
      </c>
      <c r="M89" s="1">
        <v>3</v>
      </c>
      <c r="N89" s="1">
        <v>4</v>
      </c>
      <c r="O89" s="3">
        <v>46229.693055555559</v>
      </c>
      <c r="P89" s="3">
        <v>46229.701388888891</v>
      </c>
      <c r="Q89" s="1">
        <v>5</v>
      </c>
      <c r="R89" s="1">
        <v>1</v>
      </c>
      <c r="S89" s="1">
        <v>2</v>
      </c>
      <c r="T89" s="1">
        <v>0</v>
      </c>
      <c r="U89" s="1">
        <v>0</v>
      </c>
      <c r="V89" s="1">
        <v>1</v>
      </c>
    </row>
    <row r="90" spans="1:22" ht="22.15" customHeight="1" x14ac:dyDescent="0.2">
      <c r="A90" s="1" t="s">
        <v>151</v>
      </c>
      <c r="B90" s="1">
        <v>1</v>
      </c>
      <c r="C90" s="1">
        <v>3</v>
      </c>
      <c r="D90" s="1">
        <v>2</v>
      </c>
      <c r="E90" s="1">
        <v>3</v>
      </c>
      <c r="F90" s="1">
        <v>1</v>
      </c>
      <c r="G90" s="1">
        <v>2</v>
      </c>
      <c r="H90" s="1">
        <v>1</v>
      </c>
      <c r="I90" s="1">
        <v>2</v>
      </c>
      <c r="J90" s="1">
        <v>1</v>
      </c>
      <c r="K90" s="1">
        <v>3</v>
      </c>
      <c r="L90" s="1">
        <v>1</v>
      </c>
      <c r="M90" s="1">
        <v>2</v>
      </c>
      <c r="N90" s="1">
        <v>5</v>
      </c>
      <c r="O90" s="3">
        <v>46215.354166666657</v>
      </c>
      <c r="P90" s="3">
        <v>46215.365972222222</v>
      </c>
      <c r="Q90" s="1">
        <v>7</v>
      </c>
      <c r="R90" s="1">
        <v>4</v>
      </c>
      <c r="S90" s="1">
        <v>1</v>
      </c>
      <c r="T90" s="1">
        <v>1</v>
      </c>
      <c r="U90" s="1">
        <v>0</v>
      </c>
      <c r="V90" s="1">
        <v>1</v>
      </c>
    </row>
    <row r="91" spans="1:22" ht="22.15" customHeight="1" x14ac:dyDescent="0.2">
      <c r="A91" s="1" t="s">
        <v>152</v>
      </c>
      <c r="B91" s="1">
        <v>7</v>
      </c>
      <c r="C91" s="1">
        <v>5</v>
      </c>
      <c r="D91" s="1">
        <v>4</v>
      </c>
      <c r="E91" s="1">
        <v>3</v>
      </c>
      <c r="F91" s="1">
        <v>3</v>
      </c>
      <c r="G91" s="1">
        <v>4</v>
      </c>
      <c r="H91" s="1">
        <v>5</v>
      </c>
      <c r="I91" s="1">
        <v>3</v>
      </c>
      <c r="J91" s="1">
        <v>4</v>
      </c>
      <c r="K91" s="1">
        <v>4</v>
      </c>
      <c r="L91" s="1">
        <v>4</v>
      </c>
      <c r="M91" s="1">
        <v>4</v>
      </c>
      <c r="N91" s="1">
        <v>5</v>
      </c>
      <c r="O91" s="3">
        <v>46216.757638888892</v>
      </c>
      <c r="P91" s="3">
        <v>46216.763194444437</v>
      </c>
      <c r="Q91" s="1">
        <v>5</v>
      </c>
      <c r="R91" s="1">
        <v>0</v>
      </c>
      <c r="S91" s="1">
        <v>9</v>
      </c>
      <c r="T91" s="1">
        <v>1</v>
      </c>
      <c r="U91" s="1">
        <v>1</v>
      </c>
      <c r="V91" s="1">
        <v>1</v>
      </c>
    </row>
    <row r="92" spans="1:22" ht="22.15" customHeight="1" x14ac:dyDescent="0.2">
      <c r="A92" s="1" t="s">
        <v>153</v>
      </c>
      <c r="B92" s="1">
        <v>4</v>
      </c>
      <c r="C92" s="1">
        <v>2</v>
      </c>
      <c r="D92" s="1">
        <v>2</v>
      </c>
      <c r="E92" s="1">
        <v>3</v>
      </c>
      <c r="F92" s="1">
        <v>3</v>
      </c>
      <c r="G92" s="1">
        <v>3</v>
      </c>
      <c r="H92" s="1">
        <v>2</v>
      </c>
      <c r="I92" s="1">
        <v>2</v>
      </c>
      <c r="J92" s="1">
        <v>3</v>
      </c>
      <c r="K92" s="1">
        <v>3</v>
      </c>
      <c r="L92" s="1">
        <v>2</v>
      </c>
      <c r="M92" s="1">
        <v>3</v>
      </c>
      <c r="N92" s="1">
        <v>4</v>
      </c>
      <c r="O92" s="3">
        <v>46207.556944444441</v>
      </c>
      <c r="P92" s="3">
        <v>46207.565972222219</v>
      </c>
      <c r="Q92" s="1">
        <v>3</v>
      </c>
      <c r="R92" s="1">
        <v>0</v>
      </c>
      <c r="S92" s="1">
        <v>4</v>
      </c>
      <c r="T92" s="1">
        <v>1</v>
      </c>
      <c r="U92" s="1">
        <v>1</v>
      </c>
      <c r="V92" s="1">
        <v>1</v>
      </c>
    </row>
    <row r="93" spans="1:22" ht="22.15" customHeight="1" x14ac:dyDescent="0.2">
      <c r="A93" s="1" t="s">
        <v>154</v>
      </c>
      <c r="B93" s="1">
        <v>7</v>
      </c>
      <c r="C93" s="1">
        <v>4</v>
      </c>
      <c r="D93" s="1">
        <v>3</v>
      </c>
      <c r="E93" s="1">
        <v>3</v>
      </c>
      <c r="F93" s="1">
        <v>3</v>
      </c>
      <c r="G93" s="1">
        <v>3</v>
      </c>
      <c r="H93" s="1">
        <v>4</v>
      </c>
      <c r="I93" s="1">
        <v>3</v>
      </c>
      <c r="J93" s="1">
        <v>2</v>
      </c>
      <c r="K93" s="1">
        <v>4</v>
      </c>
      <c r="L93" s="1">
        <v>3</v>
      </c>
      <c r="M93" s="1">
        <v>3</v>
      </c>
      <c r="N93" s="1">
        <v>3</v>
      </c>
      <c r="O93" s="3">
        <v>46214.652083333327</v>
      </c>
      <c r="P93" s="3">
        <v>46214.65902777778</v>
      </c>
      <c r="Q93" s="1">
        <v>6</v>
      </c>
      <c r="R93" s="1">
        <v>2</v>
      </c>
      <c r="S93" s="1">
        <v>6</v>
      </c>
      <c r="T93" s="1">
        <v>1</v>
      </c>
      <c r="U93" s="1">
        <v>1</v>
      </c>
      <c r="V93" s="1">
        <v>0</v>
      </c>
    </row>
    <row r="94" spans="1:22" ht="22.15" customHeight="1" x14ac:dyDescent="0.2">
      <c r="A94" s="1" t="s">
        <v>155</v>
      </c>
      <c r="B94" s="1">
        <v>6</v>
      </c>
      <c r="C94" s="1">
        <v>4</v>
      </c>
      <c r="D94" s="1">
        <v>3</v>
      </c>
      <c r="E94" s="1">
        <v>3</v>
      </c>
      <c r="F94" s="1">
        <v>3</v>
      </c>
      <c r="G94" s="1">
        <v>3</v>
      </c>
      <c r="H94" s="1">
        <v>2</v>
      </c>
      <c r="I94" s="1">
        <v>3</v>
      </c>
      <c r="J94" s="1">
        <v>3</v>
      </c>
      <c r="K94" s="1">
        <v>2</v>
      </c>
      <c r="L94" s="1">
        <v>3</v>
      </c>
      <c r="M94" s="1">
        <v>3</v>
      </c>
      <c r="N94" s="1">
        <v>4</v>
      </c>
      <c r="O94" s="3">
        <v>46228.702777777777</v>
      </c>
      <c r="P94" s="3">
        <v>46228.712500000001</v>
      </c>
      <c r="Q94" s="1">
        <v>5</v>
      </c>
      <c r="R94" s="1">
        <v>1</v>
      </c>
      <c r="S94" s="1">
        <v>5</v>
      </c>
      <c r="T94" s="1">
        <v>1</v>
      </c>
      <c r="U94" s="1">
        <v>0</v>
      </c>
      <c r="V94" s="1">
        <v>1</v>
      </c>
    </row>
    <row r="95" spans="1:22" ht="22.15" customHeight="1" x14ac:dyDescent="0.2">
      <c r="A95" s="1" t="s">
        <v>156</v>
      </c>
      <c r="B95" s="1">
        <v>4</v>
      </c>
      <c r="C95" s="1">
        <v>4</v>
      </c>
      <c r="D95" s="1">
        <v>3</v>
      </c>
      <c r="E95" s="1">
        <v>3</v>
      </c>
      <c r="F95" s="1">
        <v>3</v>
      </c>
      <c r="G95" s="1">
        <v>2</v>
      </c>
      <c r="H95" s="1">
        <v>3</v>
      </c>
      <c r="I95" s="1">
        <v>2</v>
      </c>
      <c r="J95" s="1">
        <v>1</v>
      </c>
      <c r="K95" s="1">
        <v>2</v>
      </c>
      <c r="L95" s="1">
        <v>2</v>
      </c>
      <c r="M95" s="1">
        <v>1</v>
      </c>
      <c r="N95" s="1">
        <v>6</v>
      </c>
      <c r="O95" s="3">
        <v>46230.493750000001</v>
      </c>
      <c r="P95" s="3">
        <v>46230.500694444447</v>
      </c>
      <c r="Q95" s="1">
        <v>7</v>
      </c>
      <c r="R95" s="1">
        <v>4</v>
      </c>
      <c r="S95" s="1">
        <v>4</v>
      </c>
      <c r="T95" s="1">
        <v>0</v>
      </c>
      <c r="U95" s="1">
        <v>0</v>
      </c>
      <c r="V95" s="1">
        <v>1</v>
      </c>
    </row>
    <row r="96" spans="1:22" ht="22.15" customHeight="1" x14ac:dyDescent="0.2">
      <c r="A96" s="1" t="s">
        <v>157</v>
      </c>
      <c r="B96" s="1">
        <v>10</v>
      </c>
      <c r="C96" s="1">
        <v>5</v>
      </c>
      <c r="D96" s="1">
        <v>5</v>
      </c>
      <c r="E96" s="1">
        <v>4</v>
      </c>
      <c r="F96" s="1">
        <v>5</v>
      </c>
      <c r="G96" s="1">
        <v>4</v>
      </c>
      <c r="H96" s="1">
        <v>4</v>
      </c>
      <c r="I96" s="1">
        <v>3</v>
      </c>
      <c r="J96" s="1">
        <v>4</v>
      </c>
      <c r="K96" s="1">
        <v>3</v>
      </c>
      <c r="L96" s="1">
        <v>4</v>
      </c>
      <c r="M96" s="1">
        <v>4</v>
      </c>
      <c r="N96" s="1">
        <v>1</v>
      </c>
      <c r="O96" s="3">
        <v>46212.768055555563</v>
      </c>
      <c r="P96" s="3">
        <v>46212.770138888889</v>
      </c>
      <c r="Q96" s="1">
        <v>4</v>
      </c>
      <c r="R96" s="1">
        <v>0</v>
      </c>
      <c r="S96" s="1">
        <v>8</v>
      </c>
      <c r="T96" s="1">
        <v>1</v>
      </c>
      <c r="U96" s="1">
        <v>1</v>
      </c>
      <c r="V96" s="1">
        <v>1</v>
      </c>
    </row>
    <row r="97" spans="1:22" ht="22.15" customHeight="1" x14ac:dyDescent="0.2">
      <c r="A97" s="1" t="s">
        <v>158</v>
      </c>
      <c r="B97" s="1">
        <v>7</v>
      </c>
      <c r="C97" s="1">
        <v>2</v>
      </c>
      <c r="D97" s="1">
        <v>4</v>
      </c>
      <c r="E97" s="1">
        <v>2</v>
      </c>
      <c r="F97" s="1">
        <v>2</v>
      </c>
      <c r="G97" s="1">
        <v>3</v>
      </c>
      <c r="H97" s="1">
        <v>2</v>
      </c>
      <c r="I97" s="1">
        <v>1</v>
      </c>
      <c r="J97" s="1">
        <v>4</v>
      </c>
      <c r="K97" s="1">
        <v>3</v>
      </c>
      <c r="L97" s="1">
        <v>2</v>
      </c>
      <c r="M97" s="1">
        <v>2</v>
      </c>
      <c r="N97" s="1">
        <v>6</v>
      </c>
      <c r="O97" s="3">
        <v>46221.713888888888</v>
      </c>
      <c r="P97" s="3">
        <v>46221.723611111112</v>
      </c>
      <c r="Q97" s="1">
        <v>4</v>
      </c>
      <c r="R97" s="1">
        <v>2</v>
      </c>
      <c r="S97" s="1">
        <v>3</v>
      </c>
      <c r="T97" s="1">
        <v>0</v>
      </c>
      <c r="U97" s="1">
        <v>1</v>
      </c>
      <c r="V97" s="1">
        <v>1</v>
      </c>
    </row>
    <row r="98" spans="1:22" ht="22.15" customHeight="1" x14ac:dyDescent="0.2">
      <c r="A98" s="1" t="s">
        <v>159</v>
      </c>
      <c r="B98" s="1">
        <v>7</v>
      </c>
      <c r="C98" s="1">
        <v>5</v>
      </c>
      <c r="D98" s="1">
        <v>4</v>
      </c>
      <c r="E98" s="1">
        <v>5</v>
      </c>
      <c r="F98" s="1">
        <v>4</v>
      </c>
      <c r="G98" s="1">
        <v>4</v>
      </c>
      <c r="H98" s="1">
        <v>4</v>
      </c>
      <c r="I98" s="1">
        <v>5</v>
      </c>
      <c r="J98" s="1">
        <v>4</v>
      </c>
      <c r="K98" s="1">
        <v>5</v>
      </c>
      <c r="L98" s="1">
        <v>4</v>
      </c>
      <c r="M98" s="1">
        <v>4</v>
      </c>
      <c r="N98" s="1">
        <v>3</v>
      </c>
      <c r="O98" s="3">
        <v>46232.756944444453</v>
      </c>
      <c r="P98" s="3">
        <v>46232.76458333333</v>
      </c>
      <c r="Q98" s="1">
        <v>5</v>
      </c>
      <c r="R98" s="1">
        <v>2</v>
      </c>
      <c r="S98" s="1">
        <v>8</v>
      </c>
      <c r="T98" s="1">
        <v>1</v>
      </c>
      <c r="U98" s="1">
        <v>1</v>
      </c>
      <c r="V98" s="1">
        <v>1</v>
      </c>
    </row>
    <row r="99" spans="1:22" ht="22.15" customHeight="1" x14ac:dyDescent="0.2">
      <c r="A99" s="1" t="s">
        <v>160</v>
      </c>
      <c r="B99" s="1">
        <v>9</v>
      </c>
      <c r="C99" s="1">
        <v>4</v>
      </c>
      <c r="D99" s="1">
        <v>4</v>
      </c>
      <c r="E99" s="1">
        <v>3</v>
      </c>
      <c r="F99" s="1">
        <v>3</v>
      </c>
      <c r="G99" s="1">
        <v>4</v>
      </c>
      <c r="H99" s="1">
        <v>4</v>
      </c>
      <c r="I99" s="1">
        <v>4</v>
      </c>
      <c r="J99" s="1">
        <v>3</v>
      </c>
      <c r="K99" s="1">
        <v>3</v>
      </c>
      <c r="L99" s="1">
        <v>4</v>
      </c>
      <c r="M99" s="1">
        <v>3</v>
      </c>
      <c r="N99" s="1">
        <v>5</v>
      </c>
      <c r="O99" s="3">
        <v>46231.445138888892</v>
      </c>
      <c r="P99" s="3">
        <v>46231.453472222223</v>
      </c>
      <c r="Q99" s="1">
        <v>5</v>
      </c>
      <c r="R99" s="1">
        <v>1</v>
      </c>
      <c r="S99" s="1">
        <v>7</v>
      </c>
      <c r="T99" s="1">
        <v>1</v>
      </c>
      <c r="U99" s="1">
        <v>1</v>
      </c>
      <c r="V99" s="1">
        <v>1</v>
      </c>
    </row>
    <row r="100" spans="1:22" ht="22.15" customHeight="1" x14ac:dyDescent="0.2">
      <c r="A100" s="1" t="s">
        <v>161</v>
      </c>
      <c r="B100" s="1">
        <v>4</v>
      </c>
      <c r="C100" s="1">
        <v>3</v>
      </c>
      <c r="D100" s="1">
        <v>3</v>
      </c>
      <c r="E100" s="1">
        <v>2</v>
      </c>
      <c r="F100" s="1">
        <v>1</v>
      </c>
      <c r="G100" s="1">
        <v>4</v>
      </c>
      <c r="H100" s="1">
        <v>3</v>
      </c>
      <c r="I100" s="1">
        <v>3</v>
      </c>
      <c r="J100" s="1">
        <v>3</v>
      </c>
      <c r="K100" s="1">
        <v>3</v>
      </c>
      <c r="L100" s="1">
        <v>2</v>
      </c>
      <c r="M100" s="1">
        <v>2</v>
      </c>
      <c r="N100" s="1">
        <v>5</v>
      </c>
      <c r="O100" s="3">
        <v>46223.53402777778</v>
      </c>
      <c r="P100" s="3">
        <v>46223.542361111111</v>
      </c>
      <c r="Q100" s="1">
        <v>5</v>
      </c>
      <c r="R100" s="1">
        <v>2</v>
      </c>
      <c r="S100" s="1">
        <v>2</v>
      </c>
      <c r="T100" s="1">
        <v>0</v>
      </c>
      <c r="U100" s="1">
        <v>0</v>
      </c>
      <c r="V100" s="1">
        <v>1</v>
      </c>
    </row>
    <row r="101" spans="1:22" ht="22.15" customHeight="1" x14ac:dyDescent="0.2">
      <c r="A101" s="1" t="s">
        <v>162</v>
      </c>
      <c r="B101" s="1">
        <v>8</v>
      </c>
      <c r="C101" s="1">
        <v>5</v>
      </c>
      <c r="D101" s="1">
        <v>4</v>
      </c>
      <c r="E101" s="1">
        <v>4</v>
      </c>
      <c r="F101" s="1">
        <v>4</v>
      </c>
      <c r="G101" s="1">
        <v>3</v>
      </c>
      <c r="H101" s="1">
        <v>4</v>
      </c>
      <c r="I101" s="1">
        <v>3</v>
      </c>
      <c r="J101" s="1">
        <v>5</v>
      </c>
      <c r="K101" s="1">
        <v>3</v>
      </c>
      <c r="L101" s="1">
        <v>4</v>
      </c>
      <c r="M101" s="1">
        <v>4</v>
      </c>
      <c r="N101" s="1">
        <v>3</v>
      </c>
      <c r="O101" s="3">
        <v>46228.375694444447</v>
      </c>
      <c r="P101" s="3">
        <v>46228.381944444453</v>
      </c>
      <c r="Q101" s="1">
        <v>4</v>
      </c>
      <c r="R101" s="1">
        <v>0</v>
      </c>
      <c r="S101" s="1">
        <v>8</v>
      </c>
      <c r="T101" s="1">
        <v>1</v>
      </c>
      <c r="U101" s="1">
        <v>1</v>
      </c>
      <c r="V101" s="1">
        <v>1</v>
      </c>
    </row>
  </sheetData>
  <autoFilter ref="A1:V101" xr:uid="{00000000-0009-0000-0000-000001000000}"/>
  <conditionalFormatting sqref="B2:B101">
    <cfRule type="colorScale" priority="1">
      <colorScale>
        <cfvo type="num" val="0"/>
        <cfvo type="num" val="7"/>
        <cfvo type="num" val="10"/>
        <color rgb="FFF4CCCC"/>
        <color rgb="FFFFF2CC"/>
        <color rgb="FFD9EAD3"/>
      </colorScale>
    </cfRule>
  </conditionalFormatting>
  <conditionalFormatting sqref="C2:C101">
    <cfRule type="colorScale" priority="2">
      <colorScale>
        <cfvo type="num" val="1"/>
        <cfvo type="num" val="3"/>
        <cfvo type="num" val="5"/>
        <color rgb="FFF4CCCC"/>
        <color rgb="FFFFF2CC"/>
        <color rgb="FFD9EAD3"/>
      </colorScale>
    </cfRule>
  </conditionalFormatting>
  <conditionalFormatting sqref="M2:M101">
    <cfRule type="colorScale" priority="3">
      <colorScale>
        <cfvo type="num" val="1"/>
        <cfvo type="num" val="3"/>
        <cfvo type="num" val="5"/>
        <color rgb="FFF4CCCC"/>
        <color rgb="FFFFF2CC"/>
        <color rgb="FFD9EAD3"/>
      </colorScale>
    </cfRule>
  </conditionalFormatting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3F35-4483-4D71-AF2E-EA530AE890C4}">
  <sheetPr>
    <pageSetUpPr fitToPage="1"/>
  </sheetPr>
  <dimension ref="A1:AJ103"/>
  <sheetViews>
    <sheetView topLeftCell="V1" workbookViewId="0">
      <pane ySplit="1" topLeftCell="V79" activePane="bottomLeft" state="frozen"/>
      <selection sqref="A1:B1"/>
      <selection pane="bottomLeft" activeCell="R1" sqref="R1:R1048576"/>
    </sheetView>
  </sheetViews>
  <sheetFormatPr defaultColWidth="20.71484375" defaultRowHeight="15" x14ac:dyDescent="0.2"/>
  <sheetData>
    <row r="1" spans="1:36" ht="22.15" customHeight="1" x14ac:dyDescent="0.2">
      <c r="A1" s="2" t="s">
        <v>41</v>
      </c>
      <c r="B1" s="2" t="s">
        <v>42</v>
      </c>
      <c r="C1" s="2" t="s">
        <v>163</v>
      </c>
      <c r="D1" s="2" t="s">
        <v>43</v>
      </c>
      <c r="E1" s="2" t="s">
        <v>164</v>
      </c>
      <c r="F1" s="2" t="s">
        <v>165</v>
      </c>
      <c r="G1" s="2" t="s">
        <v>166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167</v>
      </c>
      <c r="T1" s="2" t="s">
        <v>55</v>
      </c>
      <c r="U1" s="2" t="s">
        <v>56</v>
      </c>
      <c r="V1" s="7" t="s">
        <v>168</v>
      </c>
      <c r="W1" s="7" t="s">
        <v>169</v>
      </c>
      <c r="X1" s="7" t="s">
        <v>170</v>
      </c>
      <c r="Y1" s="2" t="s">
        <v>57</v>
      </c>
      <c r="Z1" s="2" t="s">
        <v>58</v>
      </c>
      <c r="AA1" s="2" t="s">
        <v>59</v>
      </c>
      <c r="AB1" s="7" t="s">
        <v>171</v>
      </c>
      <c r="AC1" s="2" t="s">
        <v>60</v>
      </c>
      <c r="AD1" s="7" t="s">
        <v>172</v>
      </c>
      <c r="AE1" s="2" t="s">
        <v>61</v>
      </c>
      <c r="AF1" s="7" t="s">
        <v>173</v>
      </c>
      <c r="AG1" s="2" t="s">
        <v>62</v>
      </c>
      <c r="AH1" s="8" t="s">
        <v>174</v>
      </c>
      <c r="AI1" s="8" t="s">
        <v>175</v>
      </c>
      <c r="AJ1" s="8" t="s">
        <v>176</v>
      </c>
    </row>
    <row r="2" spans="1:36" ht="22.15" customHeight="1" x14ac:dyDescent="0.2">
      <c r="A2" s="1" t="s">
        <v>63</v>
      </c>
      <c r="B2" s="1">
        <v>7</v>
      </c>
      <c r="C2" s="1" t="str">
        <f>IF(B2&gt;=9,"PROM",IF(B2&gt;=7,"PASS","DECTATOR"))</f>
        <v>PASS</v>
      </c>
      <c r="D2" s="1">
        <v>4</v>
      </c>
      <c r="E2" s="1" t="str">
        <f>IF(D2&gt;=4,"SATISFIED","NOT-SATISFIED")</f>
        <v>SATISFIED</v>
      </c>
      <c r="F2" s="1">
        <f>(H2-1+5-I2+J2-1+5-K2+L2-1+5-M2+N2-1+5-O2+P2-1+5-Q2)*2.5</f>
        <v>52.5</v>
      </c>
      <c r="G2" s="1" t="str">
        <f>IF(F2&lt;=50,"POOR",IF(F2&lt;=70,"NEED IMPROVEMENT",IF(F2&lt;=80,"GOOD","EXCELLENT")))</f>
        <v>NEED IMPROVEMENT</v>
      </c>
      <c r="H2" s="1">
        <v>3</v>
      </c>
      <c r="I2" s="1">
        <v>2</v>
      </c>
      <c r="J2" s="1">
        <v>3</v>
      </c>
      <c r="K2" s="1">
        <v>3</v>
      </c>
      <c r="L2" s="1">
        <v>3</v>
      </c>
      <c r="M2" s="1">
        <v>3</v>
      </c>
      <c r="N2" s="1">
        <v>3</v>
      </c>
      <c r="O2" s="1">
        <v>4</v>
      </c>
      <c r="P2" s="1">
        <v>4</v>
      </c>
      <c r="Q2" s="1">
        <v>3</v>
      </c>
      <c r="R2" s="1">
        <v>4</v>
      </c>
      <c r="S2" s="1" t="str">
        <f>IF(R2&lt;4,"LOW",IF(R2&lt;6,"MODERATE",IF(R2&gt;5,"HIGH")))</f>
        <v>MODERATE</v>
      </c>
      <c r="T2" s="3">
        <v>46224.68472222222</v>
      </c>
      <c r="U2" s="3">
        <v>46224.691666666673</v>
      </c>
      <c r="V2" s="1">
        <f>ROUND(((U2-T2)*1440),0)</f>
        <v>10</v>
      </c>
      <c r="W2" s="1" t="str">
        <f>IF(V2&lt;=5,"GOOD",IF(V2&lt;=10,"SATISFACTORY","BAD"))</f>
        <v>SATISFACTORY</v>
      </c>
      <c r="X2" s="1">
        <f>(Z2/Y2)*100</f>
        <v>33.333333333333329</v>
      </c>
      <c r="Y2" s="1">
        <v>6</v>
      </c>
      <c r="Z2" s="1">
        <v>2</v>
      </c>
      <c r="AA2" s="1">
        <v>8</v>
      </c>
      <c r="AB2" s="1" t="str">
        <f>IF(AA2&lt;=6,"LOW",IF(AA2&lt;=10,"MEDIUM","HIGH"))</f>
        <v>MEDIUM</v>
      </c>
      <c r="AC2" s="1">
        <v>1</v>
      </c>
      <c r="AD2" s="1" t="str">
        <f>IF(AC2=0,"NOt Adopted",IF(AC2=1,"Adopted"))</f>
        <v>Adopted</v>
      </c>
      <c r="AE2" s="1">
        <v>1</v>
      </c>
      <c r="AF2" s="1" t="str">
        <f t="shared" ref="AF2:AF65" si="0">IF(AE2=0,"Not Returned",IF(AE2=1,"Returned"))</f>
        <v>Returned</v>
      </c>
      <c r="AG2" s="1">
        <v>0</v>
      </c>
      <c r="AH2" t="str">
        <f>IF(AG2=0,"Fail",IF(AG2=1,"Success"))</f>
        <v>Fail</v>
      </c>
      <c r="AI2">
        <f>IF(B2&lt;7,1,0)+IF(D2&lt;4,1,0)+IF(F2&lt;60,1,0)+IF(R2&gt;=6,1,0)+IF(V2&gt;15,1,0)+IF(Y2&gt;5,1,0)+IF(X2&gt;=30,1,0)+IF(AA2&lt;=2,1,0)+IF(AC2=0,1,0)+IF(AE2=0,1,0)+IF(AG2=0,1,0)</f>
        <v>4</v>
      </c>
      <c r="AJ2" t="str">
        <f>IF(AI2&gt;=6,"High",IF(AI2&gt;=4,"Medium","Low"))</f>
        <v>Medium</v>
      </c>
    </row>
    <row r="3" spans="1:36" ht="22.15" customHeight="1" x14ac:dyDescent="0.2">
      <c r="A3" s="1" t="s">
        <v>64</v>
      </c>
      <c r="B3" s="1">
        <v>5</v>
      </c>
      <c r="C3" s="1" t="str">
        <f t="shared" ref="C3:C66" si="1">IF(B3&gt;=9,"PROM",IF(B3&gt;=7,"PASS","DECTATOR"))</f>
        <v>DECTATOR</v>
      </c>
      <c r="D3" s="1">
        <v>3</v>
      </c>
      <c r="E3" s="1" t="str">
        <f t="shared" ref="E3:E66" si="2">IF(D3&gt;=4,"SATISFIED","NOT-SATISFIED")</f>
        <v>NOT-SATISFIED</v>
      </c>
      <c r="F3" s="1">
        <f t="shared" ref="F3:F66" si="3">(H3-1+5-I3+J3-1+5-K3+L3-1+5-M3+N3-1+5-O3+P3-1+5-Q3)*2.5</f>
        <v>50</v>
      </c>
      <c r="G3" s="1" t="str">
        <f t="shared" ref="G3:G66" si="4">IF(F3&lt;=50,"POOR",IF(F3&lt;=70,"NEED IMPROVEMENT",IF(F3&lt;=80,"GOOD","EXCELLENT")))</f>
        <v>POOR</v>
      </c>
      <c r="H3" s="1">
        <v>2</v>
      </c>
      <c r="I3" s="1">
        <v>4</v>
      </c>
      <c r="J3" s="1">
        <v>3</v>
      </c>
      <c r="K3" s="1">
        <v>2</v>
      </c>
      <c r="L3" s="1">
        <v>3</v>
      </c>
      <c r="M3" s="1">
        <v>2</v>
      </c>
      <c r="N3" s="1">
        <v>2</v>
      </c>
      <c r="O3" s="1">
        <v>2</v>
      </c>
      <c r="P3" s="1">
        <v>3</v>
      </c>
      <c r="Q3" s="1">
        <v>3</v>
      </c>
      <c r="R3" s="1">
        <v>4</v>
      </c>
      <c r="S3" s="1" t="str">
        <f t="shared" ref="S3:S66" si="5">IF(R3&lt;4,"LOW",IF(R3&lt;6,"MODERATE",IF(R3&gt;5,"HIGH")))</f>
        <v>MODERATE</v>
      </c>
      <c r="T3" s="3">
        <v>46213.412499999999</v>
      </c>
      <c r="U3" s="3">
        <v>46213.419444444437</v>
      </c>
      <c r="V3" s="1">
        <f t="shared" ref="V3:V66" si="6">ROUND(((U3-T3)*1440),0)</f>
        <v>10</v>
      </c>
      <c r="W3" s="1" t="str">
        <f t="shared" ref="W3:W66" si="7">IF(V3&lt;=5,"GOOD",IF(V3&lt;=10,"SATISFACTORY","BAD"))</f>
        <v>SATISFACTORY</v>
      </c>
      <c r="X3" s="1">
        <f t="shared" ref="X3:X66" si="8">(Z3/Y3)*100</f>
        <v>20</v>
      </c>
      <c r="Y3" s="1">
        <v>5</v>
      </c>
      <c r="Z3" s="1">
        <v>1</v>
      </c>
      <c r="AA3" s="1">
        <v>7</v>
      </c>
      <c r="AB3" s="1" t="str">
        <f t="shared" ref="AB3:AB66" si="9">IF(AA3&lt;=6,"LOW",IF(AA3&lt;=10,"MEDIUM","HIGH"))</f>
        <v>MEDIUM</v>
      </c>
      <c r="AC3" s="1">
        <v>1</v>
      </c>
      <c r="AD3" s="1" t="str">
        <f t="shared" ref="AD3:AD66" si="10">IF(AC3=0,"NOt Adopted",IF(AC3=1,"Adopted"))</f>
        <v>Adopted</v>
      </c>
      <c r="AE3" s="1">
        <v>0</v>
      </c>
      <c r="AF3" s="1" t="str">
        <f t="shared" si="0"/>
        <v>Not Returned</v>
      </c>
      <c r="AG3" s="1">
        <v>1</v>
      </c>
      <c r="AH3" t="str">
        <f t="shared" ref="AH3:AH66" si="11">IF(AG3=0,"Fail",IF(AG3=1,"Success"))</f>
        <v>Success</v>
      </c>
      <c r="AI3">
        <f t="shared" ref="AI3:AI66" si="12">IF(B3&lt;7,1,0)+IF(D3&lt;4,1,0)+IF(F3&lt;60,1,0)+IF(R3&gt;=6,1,0)+IF(V3&gt;15,1,0)+IF(Y3&gt;5,1,0)+IF(X3&gt;=30,1,0)+IF(AA3&lt;=2,1,0)+IF(AC3=0,1,0)+IF(AE3=0,1,0)+IF(AG3=0,1,0)</f>
        <v>4</v>
      </c>
      <c r="AJ3" t="str">
        <f t="shared" ref="AJ3:AJ66" si="13">IF(AI3&gt;=6,"High",IF(AI3&gt;=4,"Medium","Low"))</f>
        <v>Medium</v>
      </c>
    </row>
    <row r="4" spans="1:36" ht="22.15" customHeight="1" x14ac:dyDescent="0.2">
      <c r="A4" s="1" t="s">
        <v>65</v>
      </c>
      <c r="B4" s="1">
        <v>6</v>
      </c>
      <c r="C4" s="1" t="str">
        <f t="shared" si="1"/>
        <v>DECTATOR</v>
      </c>
      <c r="D4" s="1">
        <v>3</v>
      </c>
      <c r="E4" s="1" t="str">
        <f t="shared" si="2"/>
        <v>NOT-SATISFIED</v>
      </c>
      <c r="F4" s="1">
        <f t="shared" si="3"/>
        <v>45</v>
      </c>
      <c r="G4" s="1" t="str">
        <f t="shared" si="4"/>
        <v>POOR</v>
      </c>
      <c r="H4" s="1">
        <v>1</v>
      </c>
      <c r="I4" s="1">
        <v>4</v>
      </c>
      <c r="J4" s="1">
        <v>2</v>
      </c>
      <c r="K4" s="1">
        <v>2</v>
      </c>
      <c r="L4" s="1">
        <v>2</v>
      </c>
      <c r="M4" s="1">
        <v>2</v>
      </c>
      <c r="N4" s="1">
        <v>3</v>
      </c>
      <c r="O4" s="1">
        <v>2</v>
      </c>
      <c r="P4" s="1">
        <v>3</v>
      </c>
      <c r="Q4" s="1">
        <v>3</v>
      </c>
      <c r="R4" s="1">
        <v>4</v>
      </c>
      <c r="S4" s="1" t="str">
        <f t="shared" si="5"/>
        <v>MODERATE</v>
      </c>
      <c r="T4" s="3">
        <v>46212.384027777778</v>
      </c>
      <c r="U4" s="3">
        <v>46212.393750000003</v>
      </c>
      <c r="V4" s="1">
        <f t="shared" si="6"/>
        <v>14</v>
      </c>
      <c r="W4" s="1" t="str">
        <f t="shared" si="7"/>
        <v>BAD</v>
      </c>
      <c r="X4" s="1">
        <f t="shared" si="8"/>
        <v>25</v>
      </c>
      <c r="Y4" s="1">
        <v>4</v>
      </c>
      <c r="Z4" s="1">
        <v>1</v>
      </c>
      <c r="AA4" s="1">
        <v>4</v>
      </c>
      <c r="AB4" s="1" t="str">
        <f t="shared" si="9"/>
        <v>LOW</v>
      </c>
      <c r="AC4" s="1">
        <v>1</v>
      </c>
      <c r="AD4" s="1" t="str">
        <f t="shared" si="10"/>
        <v>Adopted</v>
      </c>
      <c r="AE4" s="1">
        <v>0</v>
      </c>
      <c r="AF4" s="1" t="str">
        <f t="shared" si="0"/>
        <v>Not Returned</v>
      </c>
      <c r="AG4" s="1">
        <v>1</v>
      </c>
      <c r="AH4" t="str">
        <f t="shared" si="11"/>
        <v>Success</v>
      </c>
      <c r="AI4">
        <f t="shared" si="12"/>
        <v>4</v>
      </c>
      <c r="AJ4" t="str">
        <f t="shared" si="13"/>
        <v>Medium</v>
      </c>
    </row>
    <row r="5" spans="1:36" ht="22.15" customHeight="1" x14ac:dyDescent="0.2">
      <c r="A5" s="1" t="s">
        <v>66</v>
      </c>
      <c r="B5" s="1">
        <v>6</v>
      </c>
      <c r="C5" s="1" t="str">
        <f t="shared" si="1"/>
        <v>DECTATOR</v>
      </c>
      <c r="D5" s="1">
        <v>3</v>
      </c>
      <c r="E5" s="1" t="str">
        <f t="shared" si="2"/>
        <v>NOT-SATISFIED</v>
      </c>
      <c r="F5" s="1">
        <f t="shared" si="3"/>
        <v>57.5</v>
      </c>
      <c r="G5" s="1" t="str">
        <f t="shared" si="4"/>
        <v>NEED IMPROVEMENT</v>
      </c>
      <c r="H5" s="1">
        <v>3</v>
      </c>
      <c r="I5" s="1">
        <v>3</v>
      </c>
      <c r="J5" s="1">
        <v>3</v>
      </c>
      <c r="K5" s="1">
        <v>2</v>
      </c>
      <c r="L5" s="1">
        <v>3</v>
      </c>
      <c r="M5" s="1">
        <v>3</v>
      </c>
      <c r="N5" s="1">
        <v>3</v>
      </c>
      <c r="O5" s="1">
        <v>3</v>
      </c>
      <c r="P5" s="1">
        <v>4</v>
      </c>
      <c r="Q5" s="1">
        <v>2</v>
      </c>
      <c r="R5" s="1">
        <v>4</v>
      </c>
      <c r="S5" s="1" t="str">
        <f t="shared" si="5"/>
        <v>MODERATE</v>
      </c>
      <c r="T5" s="3">
        <v>46223.647916666669</v>
      </c>
      <c r="U5" s="3">
        <v>46223.654166666667</v>
      </c>
      <c r="V5" s="1">
        <f t="shared" si="6"/>
        <v>9</v>
      </c>
      <c r="W5" s="1" t="str">
        <f t="shared" si="7"/>
        <v>SATISFACTORY</v>
      </c>
      <c r="X5" s="1">
        <f t="shared" si="8"/>
        <v>20</v>
      </c>
      <c r="Y5" s="1">
        <v>5</v>
      </c>
      <c r="Z5" s="1">
        <v>1</v>
      </c>
      <c r="AA5" s="1">
        <v>8</v>
      </c>
      <c r="AB5" s="1" t="str">
        <f t="shared" si="9"/>
        <v>MEDIUM</v>
      </c>
      <c r="AC5" s="1">
        <v>1</v>
      </c>
      <c r="AD5" s="1" t="str">
        <f t="shared" si="10"/>
        <v>Adopted</v>
      </c>
      <c r="AE5" s="1">
        <v>1</v>
      </c>
      <c r="AF5" s="1" t="str">
        <f t="shared" si="0"/>
        <v>Returned</v>
      </c>
      <c r="AG5" s="1">
        <v>1</v>
      </c>
      <c r="AH5" t="str">
        <f t="shared" si="11"/>
        <v>Success</v>
      </c>
      <c r="AI5">
        <f t="shared" si="12"/>
        <v>3</v>
      </c>
      <c r="AJ5" t="str">
        <f t="shared" si="13"/>
        <v>Low</v>
      </c>
    </row>
    <row r="6" spans="1:36" ht="22.15" customHeight="1" x14ac:dyDescent="0.2">
      <c r="A6" s="1" t="s">
        <v>67</v>
      </c>
      <c r="B6" s="1">
        <v>7</v>
      </c>
      <c r="C6" s="1" t="str">
        <f t="shared" si="1"/>
        <v>PASS</v>
      </c>
      <c r="D6" s="1">
        <v>4</v>
      </c>
      <c r="E6" s="1" t="str">
        <f t="shared" si="2"/>
        <v>SATISFIED</v>
      </c>
      <c r="F6" s="1">
        <f t="shared" si="3"/>
        <v>50</v>
      </c>
      <c r="G6" s="1" t="str">
        <f t="shared" si="4"/>
        <v>POOR</v>
      </c>
      <c r="H6" s="1">
        <v>4</v>
      </c>
      <c r="I6" s="1">
        <v>3</v>
      </c>
      <c r="J6" s="1">
        <v>3</v>
      </c>
      <c r="K6" s="1">
        <v>3</v>
      </c>
      <c r="L6" s="1">
        <v>2</v>
      </c>
      <c r="M6" s="1">
        <v>2</v>
      </c>
      <c r="N6" s="1">
        <v>3</v>
      </c>
      <c r="O6" s="1">
        <v>3</v>
      </c>
      <c r="P6" s="1">
        <v>3</v>
      </c>
      <c r="Q6" s="1">
        <v>4</v>
      </c>
      <c r="R6" s="1">
        <v>3</v>
      </c>
      <c r="S6" s="1" t="str">
        <f t="shared" si="5"/>
        <v>LOW</v>
      </c>
      <c r="T6" s="3">
        <v>46228.706944444442</v>
      </c>
      <c r="U6" s="3">
        <v>46228.715277777781</v>
      </c>
      <c r="V6" s="1">
        <f t="shared" si="6"/>
        <v>12</v>
      </c>
      <c r="W6" s="1" t="str">
        <f t="shared" si="7"/>
        <v>BAD</v>
      </c>
      <c r="X6" s="1">
        <f t="shared" si="8"/>
        <v>25</v>
      </c>
      <c r="Y6" s="1">
        <v>4</v>
      </c>
      <c r="Z6" s="1">
        <v>1</v>
      </c>
      <c r="AA6" s="1">
        <v>6</v>
      </c>
      <c r="AB6" s="1" t="str">
        <f t="shared" si="9"/>
        <v>LOW</v>
      </c>
      <c r="AC6" s="1">
        <v>0</v>
      </c>
      <c r="AD6" s="1" t="str">
        <f t="shared" si="10"/>
        <v>NOt Adopted</v>
      </c>
      <c r="AE6" s="1">
        <v>0</v>
      </c>
      <c r="AF6" s="1" t="str">
        <f t="shared" si="0"/>
        <v>Not Returned</v>
      </c>
      <c r="AG6" s="1">
        <v>1</v>
      </c>
      <c r="AH6" t="str">
        <f t="shared" si="11"/>
        <v>Success</v>
      </c>
      <c r="AI6">
        <f t="shared" si="12"/>
        <v>3</v>
      </c>
      <c r="AJ6" t="str">
        <f t="shared" si="13"/>
        <v>Low</v>
      </c>
    </row>
    <row r="7" spans="1:36" ht="22.15" customHeight="1" x14ac:dyDescent="0.2">
      <c r="A7" s="1" t="s">
        <v>68</v>
      </c>
      <c r="B7" s="1">
        <v>7</v>
      </c>
      <c r="C7" s="1" t="str">
        <f t="shared" si="1"/>
        <v>PASS</v>
      </c>
      <c r="D7" s="1">
        <v>4</v>
      </c>
      <c r="E7" s="1" t="str">
        <f t="shared" si="2"/>
        <v>SATISFIED</v>
      </c>
      <c r="F7" s="1">
        <f t="shared" si="3"/>
        <v>45</v>
      </c>
      <c r="G7" s="1" t="str">
        <f t="shared" si="4"/>
        <v>POOR</v>
      </c>
      <c r="H7" s="1">
        <v>2</v>
      </c>
      <c r="I7" s="1">
        <v>4</v>
      </c>
      <c r="J7" s="1">
        <v>4</v>
      </c>
      <c r="K7" s="1">
        <v>3</v>
      </c>
      <c r="L7" s="1">
        <v>3</v>
      </c>
      <c r="M7" s="1">
        <v>4</v>
      </c>
      <c r="N7" s="1">
        <v>3</v>
      </c>
      <c r="O7" s="1">
        <v>4</v>
      </c>
      <c r="P7" s="1">
        <v>4</v>
      </c>
      <c r="Q7" s="1">
        <v>3</v>
      </c>
      <c r="R7" s="1">
        <v>4</v>
      </c>
      <c r="S7" s="1" t="str">
        <f t="shared" si="5"/>
        <v>MODERATE</v>
      </c>
      <c r="T7" s="3">
        <v>46213.612500000003</v>
      </c>
      <c r="U7" s="3">
        <v>46213.616666666669</v>
      </c>
      <c r="V7" s="1">
        <f t="shared" si="6"/>
        <v>6</v>
      </c>
      <c r="W7" s="1" t="str">
        <f t="shared" si="7"/>
        <v>SATISFACTORY</v>
      </c>
      <c r="X7" s="1">
        <f t="shared" si="8"/>
        <v>66.666666666666657</v>
      </c>
      <c r="Y7" s="1">
        <v>3</v>
      </c>
      <c r="Z7" s="1">
        <v>2</v>
      </c>
      <c r="AA7" s="1">
        <v>5</v>
      </c>
      <c r="AB7" s="1" t="str">
        <f t="shared" si="9"/>
        <v>LOW</v>
      </c>
      <c r="AC7" s="1">
        <v>1</v>
      </c>
      <c r="AD7" s="1" t="str">
        <f t="shared" si="10"/>
        <v>Adopted</v>
      </c>
      <c r="AE7" s="1">
        <v>1</v>
      </c>
      <c r="AF7" s="1" t="str">
        <f t="shared" si="0"/>
        <v>Returned</v>
      </c>
      <c r="AG7" s="1">
        <v>1</v>
      </c>
      <c r="AH7" t="str">
        <f t="shared" si="11"/>
        <v>Success</v>
      </c>
      <c r="AI7">
        <f t="shared" si="12"/>
        <v>2</v>
      </c>
      <c r="AJ7" t="str">
        <f t="shared" si="13"/>
        <v>Low</v>
      </c>
    </row>
    <row r="8" spans="1:36" ht="22.15" customHeight="1" x14ac:dyDescent="0.2">
      <c r="A8" s="1" t="s">
        <v>69</v>
      </c>
      <c r="B8" s="1">
        <v>8</v>
      </c>
      <c r="C8" s="1" t="str">
        <f t="shared" si="1"/>
        <v>PASS</v>
      </c>
      <c r="D8" s="1">
        <v>3</v>
      </c>
      <c r="E8" s="1" t="str">
        <f t="shared" si="2"/>
        <v>NOT-SATISFIED</v>
      </c>
      <c r="F8" s="1">
        <f t="shared" si="3"/>
        <v>55</v>
      </c>
      <c r="G8" s="1" t="str">
        <f t="shared" si="4"/>
        <v>NEED IMPROVEMENT</v>
      </c>
      <c r="H8" s="1">
        <v>4</v>
      </c>
      <c r="I8" s="1">
        <v>3</v>
      </c>
      <c r="J8" s="1">
        <v>4</v>
      </c>
      <c r="K8" s="1">
        <v>3</v>
      </c>
      <c r="L8" s="1">
        <v>3</v>
      </c>
      <c r="M8" s="1">
        <v>3</v>
      </c>
      <c r="N8" s="1">
        <v>4</v>
      </c>
      <c r="O8" s="1">
        <v>4</v>
      </c>
      <c r="P8" s="1">
        <v>3</v>
      </c>
      <c r="Q8" s="1">
        <v>3</v>
      </c>
      <c r="R8" s="1">
        <v>3</v>
      </c>
      <c r="S8" s="1" t="str">
        <f t="shared" si="5"/>
        <v>LOW</v>
      </c>
      <c r="T8" s="3">
        <v>46229.660416666673</v>
      </c>
      <c r="U8" s="3">
        <v>46229.665972222218</v>
      </c>
      <c r="V8" s="1">
        <f t="shared" si="6"/>
        <v>8</v>
      </c>
      <c r="W8" s="1" t="str">
        <f t="shared" si="7"/>
        <v>SATISFACTORY</v>
      </c>
      <c r="X8" s="1">
        <f t="shared" si="8"/>
        <v>20</v>
      </c>
      <c r="Y8" s="1">
        <v>5</v>
      </c>
      <c r="Z8" s="1">
        <v>1</v>
      </c>
      <c r="AA8" s="1">
        <v>4</v>
      </c>
      <c r="AB8" s="1" t="str">
        <f t="shared" si="9"/>
        <v>LOW</v>
      </c>
      <c r="AC8" s="1">
        <v>1</v>
      </c>
      <c r="AD8" s="1" t="str">
        <f t="shared" si="10"/>
        <v>Adopted</v>
      </c>
      <c r="AE8" s="1">
        <v>1</v>
      </c>
      <c r="AF8" s="1" t="str">
        <f t="shared" si="0"/>
        <v>Returned</v>
      </c>
      <c r="AG8" s="1">
        <v>1</v>
      </c>
      <c r="AH8" t="str">
        <f t="shared" si="11"/>
        <v>Success</v>
      </c>
      <c r="AI8">
        <f t="shared" si="12"/>
        <v>2</v>
      </c>
      <c r="AJ8" t="str">
        <f t="shared" si="13"/>
        <v>Low</v>
      </c>
    </row>
    <row r="9" spans="1:36" ht="22.15" customHeight="1" x14ac:dyDescent="0.2">
      <c r="A9" s="1" t="s">
        <v>70</v>
      </c>
      <c r="B9" s="1">
        <v>8</v>
      </c>
      <c r="C9" s="1" t="str">
        <f t="shared" si="1"/>
        <v>PASS</v>
      </c>
      <c r="D9" s="1">
        <v>4</v>
      </c>
      <c r="E9" s="1" t="str">
        <f t="shared" si="2"/>
        <v>SATISFIED</v>
      </c>
      <c r="F9" s="1">
        <f t="shared" si="3"/>
        <v>45</v>
      </c>
      <c r="G9" s="1" t="str">
        <f t="shared" si="4"/>
        <v>POOR</v>
      </c>
      <c r="H9" s="1">
        <v>3</v>
      </c>
      <c r="I9" s="1">
        <v>4</v>
      </c>
      <c r="J9" s="1">
        <v>4</v>
      </c>
      <c r="K9" s="1">
        <v>3</v>
      </c>
      <c r="L9" s="1">
        <v>3</v>
      </c>
      <c r="M9" s="1">
        <v>4</v>
      </c>
      <c r="N9" s="1">
        <v>2</v>
      </c>
      <c r="O9" s="1">
        <v>4</v>
      </c>
      <c r="P9" s="1">
        <v>4</v>
      </c>
      <c r="Q9" s="1">
        <v>3</v>
      </c>
      <c r="R9" s="1">
        <v>3</v>
      </c>
      <c r="S9" s="1" t="str">
        <f t="shared" si="5"/>
        <v>LOW</v>
      </c>
      <c r="T9" s="3">
        <v>46206.465277777781</v>
      </c>
      <c r="U9" s="3">
        <v>46206.47152777778</v>
      </c>
      <c r="V9" s="1">
        <f t="shared" si="6"/>
        <v>9</v>
      </c>
      <c r="W9" s="1" t="str">
        <f t="shared" si="7"/>
        <v>SATISFACTORY</v>
      </c>
      <c r="X9" s="1">
        <f t="shared" si="8"/>
        <v>33.333333333333329</v>
      </c>
      <c r="Y9" s="1">
        <v>3</v>
      </c>
      <c r="Z9" s="1">
        <v>1</v>
      </c>
      <c r="AA9" s="1">
        <v>7</v>
      </c>
      <c r="AB9" s="1" t="str">
        <f t="shared" si="9"/>
        <v>MEDIUM</v>
      </c>
      <c r="AC9" s="1">
        <v>1</v>
      </c>
      <c r="AD9" s="1" t="str">
        <f t="shared" si="10"/>
        <v>Adopted</v>
      </c>
      <c r="AE9" s="1">
        <v>1</v>
      </c>
      <c r="AF9" s="1" t="str">
        <f t="shared" si="0"/>
        <v>Returned</v>
      </c>
      <c r="AG9" s="1">
        <v>0</v>
      </c>
      <c r="AH9" t="str">
        <f t="shared" si="11"/>
        <v>Fail</v>
      </c>
      <c r="AI9">
        <f t="shared" si="12"/>
        <v>3</v>
      </c>
      <c r="AJ9" t="str">
        <f t="shared" si="13"/>
        <v>Low</v>
      </c>
    </row>
    <row r="10" spans="1:36" ht="22.15" customHeight="1" x14ac:dyDescent="0.2">
      <c r="A10" s="1" t="s">
        <v>71</v>
      </c>
      <c r="B10" s="1">
        <v>7</v>
      </c>
      <c r="C10" s="1" t="str">
        <f t="shared" si="1"/>
        <v>PASS</v>
      </c>
      <c r="D10" s="1">
        <v>4</v>
      </c>
      <c r="E10" s="1" t="str">
        <f t="shared" si="2"/>
        <v>SATISFIED</v>
      </c>
      <c r="F10" s="1">
        <f t="shared" si="3"/>
        <v>50</v>
      </c>
      <c r="G10" s="1" t="str">
        <f t="shared" si="4"/>
        <v>POOR</v>
      </c>
      <c r="H10" s="1">
        <v>4</v>
      </c>
      <c r="I10" s="1">
        <v>2</v>
      </c>
      <c r="J10" s="1">
        <v>3</v>
      </c>
      <c r="K10" s="1">
        <v>3</v>
      </c>
      <c r="L10" s="1">
        <v>3</v>
      </c>
      <c r="M10" s="1">
        <v>4</v>
      </c>
      <c r="N10" s="1">
        <v>3</v>
      </c>
      <c r="O10" s="1">
        <v>3</v>
      </c>
      <c r="P10" s="1">
        <v>3</v>
      </c>
      <c r="Q10" s="1">
        <v>4</v>
      </c>
      <c r="R10" s="1">
        <v>2</v>
      </c>
      <c r="S10" s="1" t="str">
        <f t="shared" si="5"/>
        <v>LOW</v>
      </c>
      <c r="T10" s="3">
        <v>46219.706944444442</v>
      </c>
      <c r="U10" s="3">
        <v>46219.713888888888</v>
      </c>
      <c r="V10" s="1">
        <f t="shared" si="6"/>
        <v>10</v>
      </c>
      <c r="W10" s="1" t="str">
        <f t="shared" si="7"/>
        <v>SATISFACTORY</v>
      </c>
      <c r="X10" s="1">
        <f t="shared" si="8"/>
        <v>50</v>
      </c>
      <c r="Y10" s="1">
        <v>4</v>
      </c>
      <c r="Z10" s="1">
        <v>2</v>
      </c>
      <c r="AA10" s="1">
        <v>6</v>
      </c>
      <c r="AB10" s="1" t="str">
        <f t="shared" si="9"/>
        <v>LOW</v>
      </c>
      <c r="AC10" s="1">
        <v>1</v>
      </c>
      <c r="AD10" s="1" t="str">
        <f t="shared" si="10"/>
        <v>Adopted</v>
      </c>
      <c r="AE10" s="1">
        <v>0</v>
      </c>
      <c r="AF10" s="1" t="str">
        <f t="shared" si="0"/>
        <v>Not Returned</v>
      </c>
      <c r="AG10" s="1">
        <v>1</v>
      </c>
      <c r="AH10" t="str">
        <f t="shared" si="11"/>
        <v>Success</v>
      </c>
      <c r="AI10">
        <f t="shared" si="12"/>
        <v>3</v>
      </c>
      <c r="AJ10" t="str">
        <f t="shared" si="13"/>
        <v>Low</v>
      </c>
    </row>
    <row r="11" spans="1:36" ht="22.15" customHeight="1" x14ac:dyDescent="0.2">
      <c r="A11" s="1" t="s">
        <v>72</v>
      </c>
      <c r="B11" s="1">
        <v>5</v>
      </c>
      <c r="C11" s="1" t="str">
        <f t="shared" si="1"/>
        <v>DECTATOR</v>
      </c>
      <c r="D11" s="1">
        <v>3</v>
      </c>
      <c r="E11" s="1" t="str">
        <f t="shared" si="2"/>
        <v>NOT-SATISFIED</v>
      </c>
      <c r="F11" s="1">
        <f t="shared" si="3"/>
        <v>60</v>
      </c>
      <c r="G11" s="1" t="str">
        <f t="shared" si="4"/>
        <v>NEED IMPROVEMENT</v>
      </c>
      <c r="H11" s="1">
        <v>3</v>
      </c>
      <c r="I11" s="1">
        <v>1</v>
      </c>
      <c r="J11" s="1">
        <v>3</v>
      </c>
      <c r="K11" s="1">
        <v>3</v>
      </c>
      <c r="L11" s="1">
        <v>4</v>
      </c>
      <c r="M11" s="1">
        <v>3</v>
      </c>
      <c r="N11" s="1">
        <v>3</v>
      </c>
      <c r="O11" s="1">
        <v>2</v>
      </c>
      <c r="P11" s="1">
        <v>2</v>
      </c>
      <c r="Q11" s="1">
        <v>2</v>
      </c>
      <c r="R11" s="1">
        <v>3</v>
      </c>
      <c r="S11" s="1" t="str">
        <f t="shared" si="5"/>
        <v>LOW</v>
      </c>
      <c r="T11" s="3">
        <v>46206.353472222218</v>
      </c>
      <c r="U11" s="3">
        <v>46206.364583333343</v>
      </c>
      <c r="V11" s="1">
        <f t="shared" si="6"/>
        <v>16</v>
      </c>
      <c r="W11" s="1" t="str">
        <f t="shared" si="7"/>
        <v>BAD</v>
      </c>
      <c r="X11" s="1">
        <f t="shared" si="8"/>
        <v>50</v>
      </c>
      <c r="Y11" s="1">
        <v>4</v>
      </c>
      <c r="Z11" s="1">
        <v>2</v>
      </c>
      <c r="AA11" s="1">
        <v>3</v>
      </c>
      <c r="AB11" s="1" t="str">
        <f t="shared" si="9"/>
        <v>LOW</v>
      </c>
      <c r="AC11" s="1">
        <v>1</v>
      </c>
      <c r="AD11" s="1" t="str">
        <f t="shared" si="10"/>
        <v>Adopted</v>
      </c>
      <c r="AE11" s="1">
        <v>1</v>
      </c>
      <c r="AF11" s="1" t="str">
        <f t="shared" si="0"/>
        <v>Returned</v>
      </c>
      <c r="AG11" s="1">
        <v>1</v>
      </c>
      <c r="AH11" t="str">
        <f t="shared" si="11"/>
        <v>Success</v>
      </c>
      <c r="AI11">
        <f t="shared" si="12"/>
        <v>4</v>
      </c>
      <c r="AJ11" t="str">
        <f t="shared" si="13"/>
        <v>Medium</v>
      </c>
    </row>
    <row r="12" spans="1:36" ht="22.15" customHeight="1" x14ac:dyDescent="0.2">
      <c r="A12" s="1" t="s">
        <v>73</v>
      </c>
      <c r="B12" s="1">
        <v>8</v>
      </c>
      <c r="C12" s="1" t="str">
        <f t="shared" si="1"/>
        <v>PASS</v>
      </c>
      <c r="D12" s="1">
        <v>3</v>
      </c>
      <c r="E12" s="1" t="str">
        <f t="shared" si="2"/>
        <v>NOT-SATISFIED</v>
      </c>
      <c r="F12" s="1">
        <f t="shared" si="3"/>
        <v>45</v>
      </c>
      <c r="G12" s="1" t="str">
        <f t="shared" si="4"/>
        <v>POOR</v>
      </c>
      <c r="H12" s="1">
        <v>4</v>
      </c>
      <c r="I12" s="1">
        <v>3</v>
      </c>
      <c r="J12" s="1">
        <v>2</v>
      </c>
      <c r="K12" s="1">
        <v>3</v>
      </c>
      <c r="L12" s="1">
        <v>2</v>
      </c>
      <c r="M12" s="1">
        <v>3</v>
      </c>
      <c r="N12" s="1">
        <v>4</v>
      </c>
      <c r="O12" s="1">
        <v>4</v>
      </c>
      <c r="P12" s="1">
        <v>3</v>
      </c>
      <c r="Q12" s="1">
        <v>4</v>
      </c>
      <c r="R12" s="1">
        <v>4</v>
      </c>
      <c r="S12" s="1" t="str">
        <f t="shared" si="5"/>
        <v>MODERATE</v>
      </c>
      <c r="T12" s="3">
        <v>46227.67291666667</v>
      </c>
      <c r="U12" s="3">
        <v>46227.679166666669</v>
      </c>
      <c r="V12" s="1">
        <f t="shared" si="6"/>
        <v>9</v>
      </c>
      <c r="W12" s="1" t="str">
        <f t="shared" si="7"/>
        <v>SATISFACTORY</v>
      </c>
      <c r="X12" s="1">
        <f t="shared" si="8"/>
        <v>28.571428571428569</v>
      </c>
      <c r="Y12" s="1">
        <v>7</v>
      </c>
      <c r="Z12" s="1">
        <v>2</v>
      </c>
      <c r="AA12" s="1">
        <v>8</v>
      </c>
      <c r="AB12" s="1" t="str">
        <f t="shared" si="9"/>
        <v>MEDIUM</v>
      </c>
      <c r="AC12" s="1">
        <v>1</v>
      </c>
      <c r="AD12" s="1" t="str">
        <f t="shared" si="10"/>
        <v>Adopted</v>
      </c>
      <c r="AE12" s="1">
        <v>1</v>
      </c>
      <c r="AF12" s="1" t="str">
        <f t="shared" si="0"/>
        <v>Returned</v>
      </c>
      <c r="AG12" s="1">
        <v>1</v>
      </c>
      <c r="AH12" t="str">
        <f t="shared" si="11"/>
        <v>Success</v>
      </c>
      <c r="AI12">
        <f t="shared" si="12"/>
        <v>3</v>
      </c>
      <c r="AJ12" t="str">
        <f t="shared" si="13"/>
        <v>Low</v>
      </c>
    </row>
    <row r="13" spans="1:36" ht="22.15" customHeight="1" x14ac:dyDescent="0.2">
      <c r="A13" s="1" t="s">
        <v>74</v>
      </c>
      <c r="B13" s="1">
        <v>5</v>
      </c>
      <c r="C13" s="1" t="str">
        <f t="shared" si="1"/>
        <v>DECTATOR</v>
      </c>
      <c r="D13" s="1">
        <v>3</v>
      </c>
      <c r="E13" s="1" t="str">
        <f t="shared" si="2"/>
        <v>NOT-SATISFIED</v>
      </c>
      <c r="F13" s="1">
        <f t="shared" si="3"/>
        <v>40</v>
      </c>
      <c r="G13" s="1" t="str">
        <f t="shared" si="4"/>
        <v>POOR</v>
      </c>
      <c r="H13" s="1">
        <v>2</v>
      </c>
      <c r="I13" s="1">
        <v>2</v>
      </c>
      <c r="J13" s="1">
        <v>2</v>
      </c>
      <c r="K13" s="1">
        <v>4</v>
      </c>
      <c r="L13" s="1">
        <v>3</v>
      </c>
      <c r="M13" s="1">
        <v>3</v>
      </c>
      <c r="N13" s="1">
        <v>2</v>
      </c>
      <c r="O13" s="1">
        <v>3</v>
      </c>
      <c r="P13" s="1">
        <v>2</v>
      </c>
      <c r="Q13" s="1">
        <v>3</v>
      </c>
      <c r="R13" s="1">
        <v>5</v>
      </c>
      <c r="S13" s="1" t="str">
        <f t="shared" si="5"/>
        <v>MODERATE</v>
      </c>
      <c r="T13" s="3">
        <v>46213.581250000003</v>
      </c>
      <c r="U13" s="3">
        <v>46213.59097222222</v>
      </c>
      <c r="V13" s="1">
        <f t="shared" si="6"/>
        <v>14</v>
      </c>
      <c r="W13" s="1" t="str">
        <f t="shared" si="7"/>
        <v>BAD</v>
      </c>
      <c r="X13" s="1">
        <f t="shared" si="8"/>
        <v>11.111111111111111</v>
      </c>
      <c r="Y13" s="1">
        <v>9</v>
      </c>
      <c r="Z13" s="1">
        <v>1</v>
      </c>
      <c r="AA13" s="1">
        <v>1</v>
      </c>
      <c r="AB13" s="1" t="str">
        <f t="shared" si="9"/>
        <v>LOW</v>
      </c>
      <c r="AC13" s="1">
        <v>0</v>
      </c>
      <c r="AD13" s="1" t="str">
        <f t="shared" si="10"/>
        <v>NOt Adopted</v>
      </c>
      <c r="AE13" s="1">
        <v>1</v>
      </c>
      <c r="AF13" s="1" t="str">
        <f t="shared" si="0"/>
        <v>Returned</v>
      </c>
      <c r="AG13" s="1">
        <v>1</v>
      </c>
      <c r="AH13" t="str">
        <f t="shared" si="11"/>
        <v>Success</v>
      </c>
      <c r="AI13">
        <f t="shared" si="12"/>
        <v>6</v>
      </c>
      <c r="AJ13" t="str">
        <f t="shared" si="13"/>
        <v>High</v>
      </c>
    </row>
    <row r="14" spans="1:36" ht="22.15" customHeight="1" x14ac:dyDescent="0.2">
      <c r="A14" s="1" t="s">
        <v>75</v>
      </c>
      <c r="B14" s="1">
        <v>7</v>
      </c>
      <c r="C14" s="1" t="str">
        <f t="shared" si="1"/>
        <v>PASS</v>
      </c>
      <c r="D14" s="1">
        <v>4</v>
      </c>
      <c r="E14" s="1" t="str">
        <f t="shared" si="2"/>
        <v>SATISFIED</v>
      </c>
      <c r="F14" s="1">
        <f t="shared" si="3"/>
        <v>50</v>
      </c>
      <c r="G14" s="1" t="str">
        <f t="shared" si="4"/>
        <v>POOR</v>
      </c>
      <c r="H14" s="1">
        <v>4</v>
      </c>
      <c r="I14" s="1">
        <v>3</v>
      </c>
      <c r="J14" s="1">
        <v>3</v>
      </c>
      <c r="K14" s="1">
        <v>4</v>
      </c>
      <c r="L14" s="1">
        <v>3</v>
      </c>
      <c r="M14" s="1">
        <v>3</v>
      </c>
      <c r="N14" s="1">
        <v>4</v>
      </c>
      <c r="O14" s="1">
        <v>4</v>
      </c>
      <c r="P14" s="1">
        <v>3</v>
      </c>
      <c r="Q14" s="1">
        <v>3</v>
      </c>
      <c r="R14" s="1">
        <v>4</v>
      </c>
      <c r="S14" s="1" t="str">
        <f t="shared" si="5"/>
        <v>MODERATE</v>
      </c>
      <c r="T14" s="3">
        <v>46219.466666666667</v>
      </c>
      <c r="U14" s="3">
        <v>46219.473611111112</v>
      </c>
      <c r="V14" s="1">
        <f t="shared" si="6"/>
        <v>10</v>
      </c>
      <c r="W14" s="1" t="str">
        <f t="shared" si="7"/>
        <v>SATISFACTORY</v>
      </c>
      <c r="X14" s="1">
        <f t="shared" si="8"/>
        <v>33.333333333333329</v>
      </c>
      <c r="Y14" s="1">
        <v>3</v>
      </c>
      <c r="Z14" s="1">
        <v>1</v>
      </c>
      <c r="AA14" s="1">
        <v>8</v>
      </c>
      <c r="AB14" s="1" t="str">
        <f t="shared" si="9"/>
        <v>MEDIUM</v>
      </c>
      <c r="AC14" s="1">
        <v>1</v>
      </c>
      <c r="AD14" s="1" t="str">
        <f t="shared" si="10"/>
        <v>Adopted</v>
      </c>
      <c r="AE14" s="1">
        <v>0</v>
      </c>
      <c r="AF14" s="1" t="str">
        <f t="shared" si="0"/>
        <v>Not Returned</v>
      </c>
      <c r="AG14" s="1">
        <v>0</v>
      </c>
      <c r="AH14" t="str">
        <f t="shared" si="11"/>
        <v>Fail</v>
      </c>
      <c r="AI14">
        <f t="shared" si="12"/>
        <v>4</v>
      </c>
      <c r="AJ14" t="str">
        <f t="shared" si="13"/>
        <v>Medium</v>
      </c>
    </row>
    <row r="15" spans="1:36" ht="22.15" customHeight="1" x14ac:dyDescent="0.2">
      <c r="A15" s="1" t="s">
        <v>76</v>
      </c>
      <c r="B15" s="1">
        <v>9</v>
      </c>
      <c r="C15" s="1" t="str">
        <f t="shared" si="1"/>
        <v>PROM</v>
      </c>
      <c r="D15" s="1">
        <v>5</v>
      </c>
      <c r="E15" s="1" t="str">
        <f t="shared" si="2"/>
        <v>SATISFIED</v>
      </c>
      <c r="F15" s="1">
        <f t="shared" si="3"/>
        <v>57.5</v>
      </c>
      <c r="G15" s="1" t="str">
        <f t="shared" si="4"/>
        <v>NEED IMPROVEMENT</v>
      </c>
      <c r="H15" s="1">
        <v>5</v>
      </c>
      <c r="I15" s="1">
        <v>3</v>
      </c>
      <c r="J15" s="1">
        <v>4</v>
      </c>
      <c r="K15" s="1">
        <v>5</v>
      </c>
      <c r="L15" s="1">
        <v>5</v>
      </c>
      <c r="M15" s="1">
        <v>5</v>
      </c>
      <c r="N15" s="1">
        <v>5</v>
      </c>
      <c r="O15" s="1">
        <v>4</v>
      </c>
      <c r="P15" s="1">
        <v>4</v>
      </c>
      <c r="Q15" s="1">
        <v>3</v>
      </c>
      <c r="R15" s="1">
        <v>1</v>
      </c>
      <c r="S15" s="1" t="str">
        <f t="shared" si="5"/>
        <v>LOW</v>
      </c>
      <c r="T15" s="3">
        <v>46214.609722222223</v>
      </c>
      <c r="U15" s="3">
        <v>46214.614583333343</v>
      </c>
      <c r="V15" s="1">
        <f t="shared" si="6"/>
        <v>7</v>
      </c>
      <c r="W15" s="1" t="str">
        <f t="shared" si="7"/>
        <v>SATISFACTORY</v>
      </c>
      <c r="X15" s="1">
        <f t="shared" si="8"/>
        <v>25</v>
      </c>
      <c r="Y15" s="1">
        <v>4</v>
      </c>
      <c r="Z15" s="1">
        <v>1</v>
      </c>
      <c r="AA15" s="1">
        <v>8</v>
      </c>
      <c r="AB15" s="1" t="str">
        <f t="shared" si="9"/>
        <v>MEDIUM</v>
      </c>
      <c r="AC15" s="1">
        <v>1</v>
      </c>
      <c r="AD15" s="1" t="str">
        <f t="shared" si="10"/>
        <v>Adopted</v>
      </c>
      <c r="AE15" s="1">
        <v>1</v>
      </c>
      <c r="AF15" s="1" t="str">
        <f t="shared" si="0"/>
        <v>Returned</v>
      </c>
      <c r="AG15" s="1">
        <v>1</v>
      </c>
      <c r="AH15" t="str">
        <f t="shared" si="11"/>
        <v>Success</v>
      </c>
      <c r="AI15">
        <f t="shared" si="12"/>
        <v>1</v>
      </c>
      <c r="AJ15" t="str">
        <f t="shared" si="13"/>
        <v>Low</v>
      </c>
    </row>
    <row r="16" spans="1:36" ht="22.15" customHeight="1" x14ac:dyDescent="0.2">
      <c r="A16" s="1" t="s">
        <v>77</v>
      </c>
      <c r="B16" s="1">
        <v>9</v>
      </c>
      <c r="C16" s="1" t="str">
        <f t="shared" si="1"/>
        <v>PROM</v>
      </c>
      <c r="D16" s="1">
        <v>5</v>
      </c>
      <c r="E16" s="1" t="str">
        <f t="shared" si="2"/>
        <v>SATISFIED</v>
      </c>
      <c r="F16" s="1">
        <f t="shared" si="3"/>
        <v>47.5</v>
      </c>
      <c r="G16" s="1" t="str">
        <f t="shared" si="4"/>
        <v>POOR</v>
      </c>
      <c r="H16" s="1">
        <v>5</v>
      </c>
      <c r="I16" s="1">
        <v>4</v>
      </c>
      <c r="J16" s="1">
        <v>4</v>
      </c>
      <c r="K16" s="1">
        <v>4</v>
      </c>
      <c r="L16" s="1">
        <v>5</v>
      </c>
      <c r="M16" s="1">
        <v>5</v>
      </c>
      <c r="N16" s="1">
        <v>3</v>
      </c>
      <c r="O16" s="1">
        <v>4</v>
      </c>
      <c r="P16" s="1">
        <v>4</v>
      </c>
      <c r="Q16" s="1">
        <v>5</v>
      </c>
      <c r="R16" s="1">
        <v>3</v>
      </c>
      <c r="S16" s="1" t="str">
        <f t="shared" si="5"/>
        <v>LOW</v>
      </c>
      <c r="T16" s="3">
        <v>46221.425000000003</v>
      </c>
      <c r="U16" s="3">
        <v>46221.426388888889</v>
      </c>
      <c r="V16" s="1">
        <f t="shared" si="6"/>
        <v>2</v>
      </c>
      <c r="W16" s="1" t="str">
        <f t="shared" si="7"/>
        <v>GOOD</v>
      </c>
      <c r="X16" s="1">
        <f t="shared" si="8"/>
        <v>0</v>
      </c>
      <c r="Y16" s="1">
        <v>5</v>
      </c>
      <c r="Z16" s="1">
        <v>0</v>
      </c>
      <c r="AA16" s="1">
        <v>11</v>
      </c>
      <c r="AB16" s="1" t="str">
        <f t="shared" si="9"/>
        <v>HIGH</v>
      </c>
      <c r="AC16" s="1">
        <v>1</v>
      </c>
      <c r="AD16" s="1" t="str">
        <f t="shared" si="10"/>
        <v>Adopted</v>
      </c>
      <c r="AE16" s="1">
        <v>1</v>
      </c>
      <c r="AF16" s="1" t="str">
        <f t="shared" si="0"/>
        <v>Returned</v>
      </c>
      <c r="AG16" s="1">
        <v>1</v>
      </c>
      <c r="AH16" t="str">
        <f t="shared" si="11"/>
        <v>Success</v>
      </c>
      <c r="AI16">
        <f t="shared" si="12"/>
        <v>1</v>
      </c>
      <c r="AJ16" t="str">
        <f t="shared" si="13"/>
        <v>Low</v>
      </c>
    </row>
    <row r="17" spans="1:36" ht="22.15" customHeight="1" x14ac:dyDescent="0.2">
      <c r="A17" s="1" t="s">
        <v>78</v>
      </c>
      <c r="B17" s="1">
        <v>6</v>
      </c>
      <c r="C17" s="1" t="str">
        <f t="shared" si="1"/>
        <v>DECTATOR</v>
      </c>
      <c r="D17" s="1">
        <v>4</v>
      </c>
      <c r="E17" s="1" t="str">
        <f t="shared" si="2"/>
        <v>SATISFIED</v>
      </c>
      <c r="F17" s="1">
        <f t="shared" si="3"/>
        <v>55</v>
      </c>
      <c r="G17" s="1" t="str">
        <f t="shared" si="4"/>
        <v>NEED IMPROVEMENT</v>
      </c>
      <c r="H17" s="1">
        <v>4</v>
      </c>
      <c r="I17" s="1">
        <v>4</v>
      </c>
      <c r="J17" s="1">
        <v>3</v>
      </c>
      <c r="K17" s="1">
        <v>3</v>
      </c>
      <c r="L17" s="1">
        <v>3</v>
      </c>
      <c r="M17" s="1">
        <v>2</v>
      </c>
      <c r="N17" s="1">
        <v>3</v>
      </c>
      <c r="O17" s="1">
        <v>3</v>
      </c>
      <c r="P17" s="1">
        <v>4</v>
      </c>
      <c r="Q17" s="1">
        <v>3</v>
      </c>
      <c r="R17" s="1">
        <v>4</v>
      </c>
      <c r="S17" s="1" t="str">
        <f t="shared" si="5"/>
        <v>MODERATE</v>
      </c>
      <c r="T17" s="3">
        <v>46211.464583333327</v>
      </c>
      <c r="U17" s="3">
        <v>46211.467361111107</v>
      </c>
      <c r="V17" s="1">
        <f t="shared" si="6"/>
        <v>4</v>
      </c>
      <c r="W17" s="1" t="str">
        <f t="shared" si="7"/>
        <v>GOOD</v>
      </c>
      <c r="X17" s="1">
        <f t="shared" si="8"/>
        <v>33.333333333333329</v>
      </c>
      <c r="Y17" s="1">
        <v>6</v>
      </c>
      <c r="Z17" s="1">
        <v>2</v>
      </c>
      <c r="AA17" s="1">
        <v>6</v>
      </c>
      <c r="AB17" s="1" t="str">
        <f t="shared" si="9"/>
        <v>LOW</v>
      </c>
      <c r="AC17" s="1">
        <v>1</v>
      </c>
      <c r="AD17" s="1" t="str">
        <f t="shared" si="10"/>
        <v>Adopted</v>
      </c>
      <c r="AE17" s="1">
        <v>1</v>
      </c>
      <c r="AF17" s="1" t="str">
        <f t="shared" si="0"/>
        <v>Returned</v>
      </c>
      <c r="AG17" s="1">
        <v>1</v>
      </c>
      <c r="AH17" t="str">
        <f t="shared" si="11"/>
        <v>Success</v>
      </c>
      <c r="AI17">
        <f t="shared" si="12"/>
        <v>4</v>
      </c>
      <c r="AJ17" t="str">
        <f t="shared" si="13"/>
        <v>Medium</v>
      </c>
    </row>
    <row r="18" spans="1:36" ht="22.15" customHeight="1" x14ac:dyDescent="0.2">
      <c r="A18" s="1" t="s">
        <v>79</v>
      </c>
      <c r="B18" s="1">
        <v>4</v>
      </c>
      <c r="C18" s="1" t="str">
        <f t="shared" si="1"/>
        <v>DECTATOR</v>
      </c>
      <c r="D18" s="1">
        <v>3</v>
      </c>
      <c r="E18" s="1" t="str">
        <f t="shared" si="2"/>
        <v>NOT-SATISFIED</v>
      </c>
      <c r="F18" s="1">
        <f t="shared" si="3"/>
        <v>47.5</v>
      </c>
      <c r="G18" s="1" t="str">
        <f t="shared" si="4"/>
        <v>POOR</v>
      </c>
      <c r="H18" s="1">
        <v>3</v>
      </c>
      <c r="I18" s="1">
        <v>2</v>
      </c>
      <c r="J18" s="1">
        <v>3</v>
      </c>
      <c r="K18" s="1">
        <v>3</v>
      </c>
      <c r="L18" s="1">
        <v>2</v>
      </c>
      <c r="M18" s="1">
        <v>2</v>
      </c>
      <c r="N18" s="1">
        <v>2</v>
      </c>
      <c r="O18" s="1">
        <v>3</v>
      </c>
      <c r="P18" s="1">
        <v>1</v>
      </c>
      <c r="Q18" s="1">
        <v>2</v>
      </c>
      <c r="R18" s="1">
        <v>4</v>
      </c>
      <c r="S18" s="1" t="str">
        <f t="shared" si="5"/>
        <v>MODERATE</v>
      </c>
      <c r="T18" s="3">
        <v>46225.690972222219</v>
      </c>
      <c r="U18" s="3">
        <v>46225.696527777778</v>
      </c>
      <c r="V18" s="1">
        <f t="shared" si="6"/>
        <v>8</v>
      </c>
      <c r="W18" s="1" t="str">
        <f t="shared" si="7"/>
        <v>SATISFACTORY</v>
      </c>
      <c r="X18" s="1">
        <f t="shared" si="8"/>
        <v>0</v>
      </c>
      <c r="Y18" s="1">
        <v>4</v>
      </c>
      <c r="Z18" s="1">
        <v>0</v>
      </c>
      <c r="AA18" s="1">
        <v>4</v>
      </c>
      <c r="AB18" s="1" t="str">
        <f t="shared" si="9"/>
        <v>LOW</v>
      </c>
      <c r="AC18" s="1">
        <v>0</v>
      </c>
      <c r="AD18" s="1" t="str">
        <f t="shared" si="10"/>
        <v>NOt Adopted</v>
      </c>
      <c r="AE18" s="1">
        <v>0</v>
      </c>
      <c r="AF18" s="1" t="str">
        <f t="shared" si="0"/>
        <v>Not Returned</v>
      </c>
      <c r="AG18" s="1">
        <v>1</v>
      </c>
      <c r="AH18" t="str">
        <f t="shared" si="11"/>
        <v>Success</v>
      </c>
      <c r="AI18">
        <f t="shared" si="12"/>
        <v>5</v>
      </c>
      <c r="AJ18" t="str">
        <f t="shared" si="13"/>
        <v>Medium</v>
      </c>
    </row>
    <row r="19" spans="1:36" ht="22.15" customHeight="1" x14ac:dyDescent="0.2">
      <c r="A19" s="1" t="s">
        <v>80</v>
      </c>
      <c r="B19" s="1">
        <v>5</v>
      </c>
      <c r="C19" s="1" t="str">
        <f t="shared" si="1"/>
        <v>DECTATOR</v>
      </c>
      <c r="D19" s="1">
        <v>3</v>
      </c>
      <c r="E19" s="1" t="str">
        <f t="shared" si="2"/>
        <v>NOT-SATISFIED</v>
      </c>
      <c r="F19" s="1">
        <f t="shared" si="3"/>
        <v>55</v>
      </c>
      <c r="G19" s="1" t="str">
        <f t="shared" si="4"/>
        <v>NEED IMPROVEMENT</v>
      </c>
      <c r="H19" s="1">
        <v>2</v>
      </c>
      <c r="I19" s="1">
        <v>2</v>
      </c>
      <c r="J19" s="1">
        <v>2</v>
      </c>
      <c r="K19" s="1">
        <v>2</v>
      </c>
      <c r="L19" s="1">
        <v>3</v>
      </c>
      <c r="M19" s="1">
        <v>2</v>
      </c>
      <c r="N19" s="1">
        <v>3</v>
      </c>
      <c r="O19" s="1">
        <v>2</v>
      </c>
      <c r="P19" s="1">
        <v>3</v>
      </c>
      <c r="Q19" s="1">
        <v>3</v>
      </c>
      <c r="R19" s="1">
        <v>4</v>
      </c>
      <c r="S19" s="1" t="str">
        <f t="shared" si="5"/>
        <v>MODERATE</v>
      </c>
      <c r="T19" s="3">
        <v>46226.447916666657</v>
      </c>
      <c r="U19" s="3">
        <v>46226.457638888889</v>
      </c>
      <c r="V19" s="1">
        <f t="shared" si="6"/>
        <v>14</v>
      </c>
      <c r="W19" s="1" t="str">
        <f t="shared" si="7"/>
        <v>BAD</v>
      </c>
      <c r="X19" s="1">
        <f t="shared" si="8"/>
        <v>16.666666666666664</v>
      </c>
      <c r="Y19" s="1">
        <v>6</v>
      </c>
      <c r="Z19" s="1">
        <v>1</v>
      </c>
      <c r="AA19" s="1">
        <v>6</v>
      </c>
      <c r="AB19" s="1" t="str">
        <f t="shared" si="9"/>
        <v>LOW</v>
      </c>
      <c r="AC19" s="1">
        <v>0</v>
      </c>
      <c r="AD19" s="1" t="str">
        <f t="shared" si="10"/>
        <v>NOt Adopted</v>
      </c>
      <c r="AE19" s="1">
        <v>1</v>
      </c>
      <c r="AF19" s="1" t="str">
        <f t="shared" si="0"/>
        <v>Returned</v>
      </c>
      <c r="AG19" s="1">
        <v>0</v>
      </c>
      <c r="AH19" t="str">
        <f t="shared" si="11"/>
        <v>Fail</v>
      </c>
      <c r="AI19">
        <f t="shared" si="12"/>
        <v>6</v>
      </c>
      <c r="AJ19" t="str">
        <f t="shared" si="13"/>
        <v>High</v>
      </c>
    </row>
    <row r="20" spans="1:36" ht="22.15" customHeight="1" x14ac:dyDescent="0.2">
      <c r="A20" s="1" t="s">
        <v>81</v>
      </c>
      <c r="B20" s="1">
        <v>5</v>
      </c>
      <c r="C20" s="1" t="str">
        <f t="shared" si="1"/>
        <v>DECTATOR</v>
      </c>
      <c r="D20" s="1">
        <v>3</v>
      </c>
      <c r="E20" s="1" t="str">
        <f t="shared" si="2"/>
        <v>NOT-SATISFIED</v>
      </c>
      <c r="F20" s="1">
        <f t="shared" si="3"/>
        <v>50</v>
      </c>
      <c r="G20" s="1" t="str">
        <f t="shared" si="4"/>
        <v>POOR</v>
      </c>
      <c r="H20" s="1">
        <v>1</v>
      </c>
      <c r="I20" s="1">
        <v>3</v>
      </c>
      <c r="J20" s="1">
        <v>3</v>
      </c>
      <c r="K20" s="1">
        <v>2</v>
      </c>
      <c r="L20" s="1">
        <v>2</v>
      </c>
      <c r="M20" s="1">
        <v>1</v>
      </c>
      <c r="N20" s="1">
        <v>3</v>
      </c>
      <c r="O20" s="1">
        <v>2</v>
      </c>
      <c r="P20" s="1">
        <v>2</v>
      </c>
      <c r="Q20" s="1">
        <v>3</v>
      </c>
      <c r="R20" s="1">
        <v>4</v>
      </c>
      <c r="S20" s="1" t="str">
        <f t="shared" si="5"/>
        <v>MODERATE</v>
      </c>
      <c r="T20" s="3">
        <v>46216.570833333331</v>
      </c>
      <c r="U20" s="3">
        <v>46216.578472222223</v>
      </c>
      <c r="V20" s="1">
        <f t="shared" si="6"/>
        <v>11</v>
      </c>
      <c r="W20" s="1" t="str">
        <f t="shared" si="7"/>
        <v>BAD</v>
      </c>
      <c r="X20" s="1">
        <f t="shared" si="8"/>
        <v>50</v>
      </c>
      <c r="Y20" s="1">
        <v>4</v>
      </c>
      <c r="Z20" s="1">
        <v>2</v>
      </c>
      <c r="AA20" s="1">
        <v>6</v>
      </c>
      <c r="AB20" s="1" t="str">
        <f t="shared" si="9"/>
        <v>LOW</v>
      </c>
      <c r="AC20" s="1">
        <v>1</v>
      </c>
      <c r="AD20" s="1" t="str">
        <f t="shared" si="10"/>
        <v>Adopted</v>
      </c>
      <c r="AE20" s="1">
        <v>1</v>
      </c>
      <c r="AF20" s="1" t="str">
        <f t="shared" si="0"/>
        <v>Returned</v>
      </c>
      <c r="AG20" s="1">
        <v>1</v>
      </c>
      <c r="AH20" t="str">
        <f t="shared" si="11"/>
        <v>Success</v>
      </c>
      <c r="AI20">
        <f t="shared" si="12"/>
        <v>4</v>
      </c>
      <c r="AJ20" t="str">
        <f t="shared" si="13"/>
        <v>Medium</v>
      </c>
    </row>
    <row r="21" spans="1:36" ht="22.15" customHeight="1" x14ac:dyDescent="0.2">
      <c r="A21" s="1" t="s">
        <v>82</v>
      </c>
      <c r="B21" s="1">
        <v>10</v>
      </c>
      <c r="C21" s="1" t="str">
        <f t="shared" si="1"/>
        <v>PROM</v>
      </c>
      <c r="D21" s="1">
        <v>5</v>
      </c>
      <c r="E21" s="1" t="str">
        <f t="shared" si="2"/>
        <v>SATISFIED</v>
      </c>
      <c r="F21" s="1">
        <f t="shared" si="3"/>
        <v>47.5</v>
      </c>
      <c r="G21" s="1" t="str">
        <f t="shared" si="4"/>
        <v>POOR</v>
      </c>
      <c r="H21" s="1">
        <v>4</v>
      </c>
      <c r="I21" s="1">
        <v>4</v>
      </c>
      <c r="J21" s="1">
        <v>5</v>
      </c>
      <c r="K21" s="1">
        <v>4</v>
      </c>
      <c r="L21" s="1">
        <v>4</v>
      </c>
      <c r="M21" s="1">
        <v>4</v>
      </c>
      <c r="N21" s="1">
        <v>3</v>
      </c>
      <c r="O21" s="1">
        <v>4</v>
      </c>
      <c r="P21" s="1">
        <v>4</v>
      </c>
      <c r="Q21" s="1">
        <v>5</v>
      </c>
      <c r="R21" s="1">
        <v>3</v>
      </c>
      <c r="S21" s="1" t="str">
        <f t="shared" si="5"/>
        <v>LOW</v>
      </c>
      <c r="T21" s="3">
        <v>46215.486805555563</v>
      </c>
      <c r="U21" s="3">
        <v>46215.490277777782</v>
      </c>
      <c r="V21" s="1">
        <f t="shared" si="6"/>
        <v>5</v>
      </c>
      <c r="W21" s="1" t="str">
        <f t="shared" si="7"/>
        <v>GOOD</v>
      </c>
      <c r="X21" s="1">
        <f t="shared" si="8"/>
        <v>28.571428571428569</v>
      </c>
      <c r="Y21" s="1">
        <v>7</v>
      </c>
      <c r="Z21" s="1">
        <v>2</v>
      </c>
      <c r="AA21" s="1">
        <v>11</v>
      </c>
      <c r="AB21" s="1" t="str">
        <f t="shared" si="9"/>
        <v>HIGH</v>
      </c>
      <c r="AC21" s="1">
        <v>1</v>
      </c>
      <c r="AD21" s="1" t="str">
        <f t="shared" si="10"/>
        <v>Adopted</v>
      </c>
      <c r="AE21" s="1">
        <v>0</v>
      </c>
      <c r="AF21" s="1" t="str">
        <f t="shared" si="0"/>
        <v>Not Returned</v>
      </c>
      <c r="AG21" s="1">
        <v>1</v>
      </c>
      <c r="AH21" t="str">
        <f t="shared" si="11"/>
        <v>Success</v>
      </c>
      <c r="AI21">
        <f t="shared" si="12"/>
        <v>3</v>
      </c>
      <c r="AJ21" t="str">
        <f t="shared" si="13"/>
        <v>Low</v>
      </c>
    </row>
    <row r="22" spans="1:36" ht="22.15" customHeight="1" x14ac:dyDescent="0.2">
      <c r="A22" s="1" t="s">
        <v>83</v>
      </c>
      <c r="B22" s="1">
        <v>8</v>
      </c>
      <c r="C22" s="1" t="str">
        <f t="shared" si="1"/>
        <v>PASS</v>
      </c>
      <c r="D22" s="1">
        <v>3</v>
      </c>
      <c r="E22" s="1" t="str">
        <f t="shared" si="2"/>
        <v>NOT-SATISFIED</v>
      </c>
      <c r="F22" s="1">
        <f t="shared" si="3"/>
        <v>42.5</v>
      </c>
      <c r="G22" s="1" t="str">
        <f t="shared" si="4"/>
        <v>POOR</v>
      </c>
      <c r="H22" s="1">
        <v>3</v>
      </c>
      <c r="I22" s="1">
        <v>2</v>
      </c>
      <c r="J22" s="1">
        <v>3</v>
      </c>
      <c r="K22" s="1">
        <v>4</v>
      </c>
      <c r="L22" s="1">
        <v>2</v>
      </c>
      <c r="M22" s="1">
        <v>2</v>
      </c>
      <c r="N22" s="1">
        <v>2</v>
      </c>
      <c r="O22" s="1">
        <v>3</v>
      </c>
      <c r="P22" s="1">
        <v>2</v>
      </c>
      <c r="Q22" s="1">
        <v>4</v>
      </c>
      <c r="R22" s="1">
        <v>3</v>
      </c>
      <c r="S22" s="1" t="str">
        <f t="shared" si="5"/>
        <v>LOW</v>
      </c>
      <c r="T22" s="3">
        <v>46210.400694444441</v>
      </c>
      <c r="U22" s="3">
        <v>46210.405555555553</v>
      </c>
      <c r="V22" s="1">
        <f t="shared" si="6"/>
        <v>7</v>
      </c>
      <c r="W22" s="1" t="str">
        <f t="shared" si="7"/>
        <v>SATISFACTORY</v>
      </c>
      <c r="X22" s="1">
        <f t="shared" si="8"/>
        <v>33.333333333333329</v>
      </c>
      <c r="Y22" s="1">
        <v>3</v>
      </c>
      <c r="Z22" s="1">
        <v>1</v>
      </c>
      <c r="AA22" s="1">
        <v>5</v>
      </c>
      <c r="AB22" s="1" t="str">
        <f t="shared" si="9"/>
        <v>LOW</v>
      </c>
      <c r="AC22" s="1">
        <v>0</v>
      </c>
      <c r="AD22" s="1" t="str">
        <f t="shared" si="10"/>
        <v>NOt Adopted</v>
      </c>
      <c r="AE22" s="1">
        <v>0</v>
      </c>
      <c r="AF22" s="1" t="str">
        <f t="shared" si="0"/>
        <v>Not Returned</v>
      </c>
      <c r="AG22" s="1">
        <v>1</v>
      </c>
      <c r="AH22" t="str">
        <f t="shared" si="11"/>
        <v>Success</v>
      </c>
      <c r="AI22">
        <f t="shared" si="12"/>
        <v>5</v>
      </c>
      <c r="AJ22" t="str">
        <f t="shared" si="13"/>
        <v>Medium</v>
      </c>
    </row>
    <row r="23" spans="1:36" ht="22.15" customHeight="1" x14ac:dyDescent="0.2">
      <c r="A23" s="1" t="s">
        <v>84</v>
      </c>
      <c r="B23" s="1">
        <v>6</v>
      </c>
      <c r="C23" s="1" t="str">
        <f t="shared" si="1"/>
        <v>DECTATOR</v>
      </c>
      <c r="D23" s="1">
        <v>4</v>
      </c>
      <c r="E23" s="1" t="str">
        <f t="shared" si="2"/>
        <v>SATISFIED</v>
      </c>
      <c r="F23" s="1">
        <f t="shared" si="3"/>
        <v>42.5</v>
      </c>
      <c r="G23" s="1" t="str">
        <f t="shared" si="4"/>
        <v>POOR</v>
      </c>
      <c r="H23" s="1">
        <v>3</v>
      </c>
      <c r="I23" s="1">
        <v>4</v>
      </c>
      <c r="J23" s="1">
        <v>2</v>
      </c>
      <c r="K23" s="1">
        <v>4</v>
      </c>
      <c r="L23" s="1">
        <v>4</v>
      </c>
      <c r="M23" s="1">
        <v>2</v>
      </c>
      <c r="N23" s="1">
        <v>2</v>
      </c>
      <c r="O23" s="1">
        <v>3</v>
      </c>
      <c r="P23" s="1">
        <v>2</v>
      </c>
      <c r="Q23" s="1">
        <v>3</v>
      </c>
      <c r="R23" s="1">
        <v>3</v>
      </c>
      <c r="S23" s="1" t="str">
        <f t="shared" si="5"/>
        <v>LOW</v>
      </c>
      <c r="T23" s="3">
        <v>46212.743750000001</v>
      </c>
      <c r="U23" s="3">
        <v>46212.745138888888</v>
      </c>
      <c r="V23" s="1">
        <f t="shared" si="6"/>
        <v>2</v>
      </c>
      <c r="W23" s="1" t="str">
        <f t="shared" si="7"/>
        <v>GOOD</v>
      </c>
      <c r="X23" s="1">
        <f t="shared" si="8"/>
        <v>14.285714285714285</v>
      </c>
      <c r="Y23" s="1">
        <v>7</v>
      </c>
      <c r="Z23" s="1">
        <v>1</v>
      </c>
      <c r="AA23" s="1">
        <v>3</v>
      </c>
      <c r="AB23" s="1" t="str">
        <f t="shared" si="9"/>
        <v>LOW</v>
      </c>
      <c r="AC23" s="1">
        <v>1</v>
      </c>
      <c r="AD23" s="1" t="str">
        <f t="shared" si="10"/>
        <v>Adopted</v>
      </c>
      <c r="AE23" s="1">
        <v>0</v>
      </c>
      <c r="AF23" s="1" t="str">
        <f t="shared" si="0"/>
        <v>Not Returned</v>
      </c>
      <c r="AG23" s="1">
        <v>1</v>
      </c>
      <c r="AH23" t="str">
        <f t="shared" si="11"/>
        <v>Success</v>
      </c>
      <c r="AI23">
        <f t="shared" si="12"/>
        <v>4</v>
      </c>
      <c r="AJ23" t="str">
        <f t="shared" si="13"/>
        <v>Medium</v>
      </c>
    </row>
    <row r="24" spans="1:36" ht="22.15" customHeight="1" x14ac:dyDescent="0.2">
      <c r="A24" s="1" t="s">
        <v>85</v>
      </c>
      <c r="B24" s="1">
        <v>5</v>
      </c>
      <c r="C24" s="1" t="str">
        <f t="shared" si="1"/>
        <v>DECTATOR</v>
      </c>
      <c r="D24" s="1">
        <v>3</v>
      </c>
      <c r="E24" s="1" t="str">
        <f t="shared" si="2"/>
        <v>NOT-SATISFIED</v>
      </c>
      <c r="F24" s="1">
        <f t="shared" si="3"/>
        <v>45</v>
      </c>
      <c r="G24" s="1" t="str">
        <f t="shared" si="4"/>
        <v>POOR</v>
      </c>
      <c r="H24" s="1">
        <v>2</v>
      </c>
      <c r="I24" s="1">
        <v>3</v>
      </c>
      <c r="J24" s="1">
        <v>3</v>
      </c>
      <c r="K24" s="1">
        <v>3</v>
      </c>
      <c r="L24" s="1">
        <v>2</v>
      </c>
      <c r="M24" s="1">
        <v>2</v>
      </c>
      <c r="N24" s="1">
        <v>2</v>
      </c>
      <c r="O24" s="1">
        <v>3</v>
      </c>
      <c r="P24" s="1">
        <v>3</v>
      </c>
      <c r="Q24" s="1">
        <v>3</v>
      </c>
      <c r="R24" s="1">
        <v>4</v>
      </c>
      <c r="S24" s="1" t="str">
        <f t="shared" si="5"/>
        <v>MODERATE</v>
      </c>
      <c r="T24" s="3">
        <v>46217.649305555547</v>
      </c>
      <c r="U24" s="3">
        <v>46217.656944444447</v>
      </c>
      <c r="V24" s="1">
        <f t="shared" si="6"/>
        <v>11</v>
      </c>
      <c r="W24" s="1" t="str">
        <f t="shared" si="7"/>
        <v>BAD</v>
      </c>
      <c r="X24" s="1">
        <f t="shared" si="8"/>
        <v>0</v>
      </c>
      <c r="Y24" s="1">
        <v>3</v>
      </c>
      <c r="Z24" s="1">
        <v>0</v>
      </c>
      <c r="AA24" s="1">
        <v>6</v>
      </c>
      <c r="AB24" s="1" t="str">
        <f t="shared" si="9"/>
        <v>LOW</v>
      </c>
      <c r="AC24" s="1">
        <v>1</v>
      </c>
      <c r="AD24" s="1" t="str">
        <f t="shared" si="10"/>
        <v>Adopted</v>
      </c>
      <c r="AE24" s="1">
        <v>1</v>
      </c>
      <c r="AF24" s="1" t="str">
        <f t="shared" si="0"/>
        <v>Returned</v>
      </c>
      <c r="AG24" s="1">
        <v>1</v>
      </c>
      <c r="AH24" t="str">
        <f t="shared" si="11"/>
        <v>Success</v>
      </c>
      <c r="AI24">
        <f t="shared" si="12"/>
        <v>3</v>
      </c>
      <c r="AJ24" t="str">
        <f t="shared" si="13"/>
        <v>Low</v>
      </c>
    </row>
    <row r="25" spans="1:36" ht="22.15" customHeight="1" x14ac:dyDescent="0.2">
      <c r="A25" s="1" t="s">
        <v>86</v>
      </c>
      <c r="B25" s="1">
        <v>6</v>
      </c>
      <c r="C25" s="1" t="str">
        <f t="shared" si="1"/>
        <v>DECTATOR</v>
      </c>
      <c r="D25" s="1">
        <v>4</v>
      </c>
      <c r="E25" s="1" t="str">
        <f t="shared" si="2"/>
        <v>SATISFIED</v>
      </c>
      <c r="F25" s="1">
        <f t="shared" si="3"/>
        <v>55</v>
      </c>
      <c r="G25" s="1" t="str">
        <f t="shared" si="4"/>
        <v>NEED IMPROVEMENT</v>
      </c>
      <c r="H25" s="1">
        <v>4</v>
      </c>
      <c r="I25" s="1">
        <v>3</v>
      </c>
      <c r="J25" s="1">
        <v>4</v>
      </c>
      <c r="K25" s="1">
        <v>3</v>
      </c>
      <c r="L25" s="1">
        <v>4</v>
      </c>
      <c r="M25" s="1">
        <v>4</v>
      </c>
      <c r="N25" s="1">
        <v>4</v>
      </c>
      <c r="O25" s="1">
        <v>4</v>
      </c>
      <c r="P25" s="1">
        <v>4</v>
      </c>
      <c r="Q25" s="1">
        <v>4</v>
      </c>
      <c r="R25" s="1">
        <v>2</v>
      </c>
      <c r="S25" s="1" t="str">
        <f t="shared" si="5"/>
        <v>LOW</v>
      </c>
      <c r="T25" s="3">
        <v>46210.636805555558</v>
      </c>
      <c r="U25" s="3">
        <v>46210.640972222223</v>
      </c>
      <c r="V25" s="1">
        <f t="shared" si="6"/>
        <v>6</v>
      </c>
      <c r="W25" s="1" t="str">
        <f t="shared" si="7"/>
        <v>SATISFACTORY</v>
      </c>
      <c r="X25" s="1">
        <f t="shared" si="8"/>
        <v>50</v>
      </c>
      <c r="Y25" s="1">
        <v>4</v>
      </c>
      <c r="Z25" s="1">
        <v>2</v>
      </c>
      <c r="AA25" s="1">
        <v>1</v>
      </c>
      <c r="AB25" s="1" t="str">
        <f t="shared" si="9"/>
        <v>LOW</v>
      </c>
      <c r="AC25" s="1">
        <v>1</v>
      </c>
      <c r="AD25" s="1" t="str">
        <f t="shared" si="10"/>
        <v>Adopted</v>
      </c>
      <c r="AE25" s="1">
        <v>1</v>
      </c>
      <c r="AF25" s="1" t="str">
        <f t="shared" si="0"/>
        <v>Returned</v>
      </c>
      <c r="AG25" s="1">
        <v>1</v>
      </c>
      <c r="AH25" t="str">
        <f t="shared" si="11"/>
        <v>Success</v>
      </c>
      <c r="AI25">
        <f t="shared" si="12"/>
        <v>4</v>
      </c>
      <c r="AJ25" t="str">
        <f t="shared" si="13"/>
        <v>Medium</v>
      </c>
    </row>
    <row r="26" spans="1:36" ht="22.15" customHeight="1" x14ac:dyDescent="0.2">
      <c r="A26" s="1" t="s">
        <v>87</v>
      </c>
      <c r="B26" s="1">
        <v>6</v>
      </c>
      <c r="C26" s="1" t="str">
        <f t="shared" si="1"/>
        <v>DECTATOR</v>
      </c>
      <c r="D26" s="1">
        <v>4</v>
      </c>
      <c r="E26" s="1" t="str">
        <f t="shared" si="2"/>
        <v>SATISFIED</v>
      </c>
      <c r="F26" s="1">
        <f t="shared" si="3"/>
        <v>55</v>
      </c>
      <c r="G26" s="1" t="str">
        <f t="shared" si="4"/>
        <v>NEED IMPROVEMENT</v>
      </c>
      <c r="H26" s="1">
        <v>3</v>
      </c>
      <c r="I26" s="1">
        <v>2</v>
      </c>
      <c r="J26" s="1">
        <v>3</v>
      </c>
      <c r="K26" s="1">
        <v>2</v>
      </c>
      <c r="L26" s="1">
        <v>3</v>
      </c>
      <c r="M26" s="1">
        <v>2</v>
      </c>
      <c r="N26" s="1">
        <v>2</v>
      </c>
      <c r="O26" s="1">
        <v>3</v>
      </c>
      <c r="P26" s="1">
        <v>3</v>
      </c>
      <c r="Q26" s="1">
        <v>3</v>
      </c>
      <c r="R26" s="1">
        <v>4</v>
      </c>
      <c r="S26" s="1" t="str">
        <f t="shared" si="5"/>
        <v>MODERATE</v>
      </c>
      <c r="T26" s="3">
        <v>46231.629861111112</v>
      </c>
      <c r="U26" s="3">
        <v>46231.638888888891</v>
      </c>
      <c r="V26" s="1">
        <f t="shared" si="6"/>
        <v>13</v>
      </c>
      <c r="W26" s="1" t="str">
        <f t="shared" si="7"/>
        <v>BAD</v>
      </c>
      <c r="X26" s="1">
        <f t="shared" si="8"/>
        <v>75</v>
      </c>
      <c r="Y26" s="1">
        <v>4</v>
      </c>
      <c r="Z26" s="1">
        <v>3</v>
      </c>
      <c r="AA26" s="1">
        <v>3</v>
      </c>
      <c r="AB26" s="1" t="str">
        <f t="shared" si="9"/>
        <v>LOW</v>
      </c>
      <c r="AC26" s="1">
        <v>0</v>
      </c>
      <c r="AD26" s="1" t="str">
        <f t="shared" si="10"/>
        <v>NOt Adopted</v>
      </c>
      <c r="AE26" s="1">
        <v>1</v>
      </c>
      <c r="AF26" s="1" t="str">
        <f t="shared" si="0"/>
        <v>Returned</v>
      </c>
      <c r="AG26" s="1">
        <v>1</v>
      </c>
      <c r="AH26" t="str">
        <f t="shared" si="11"/>
        <v>Success</v>
      </c>
      <c r="AI26">
        <f t="shared" si="12"/>
        <v>4</v>
      </c>
      <c r="AJ26" t="str">
        <f t="shared" si="13"/>
        <v>Medium</v>
      </c>
    </row>
    <row r="27" spans="1:36" ht="22.15" customHeight="1" x14ac:dyDescent="0.2">
      <c r="A27" s="1" t="s">
        <v>88</v>
      </c>
      <c r="B27" s="1">
        <v>2</v>
      </c>
      <c r="C27" s="1" t="str">
        <f t="shared" si="1"/>
        <v>DECTATOR</v>
      </c>
      <c r="D27" s="1">
        <v>2</v>
      </c>
      <c r="E27" s="1" t="str">
        <f t="shared" si="2"/>
        <v>NOT-SATISFIED</v>
      </c>
      <c r="F27" s="1">
        <f t="shared" si="3"/>
        <v>55</v>
      </c>
      <c r="G27" s="1" t="str">
        <f t="shared" si="4"/>
        <v>NEED IMPROVEMENT</v>
      </c>
      <c r="H27" s="1">
        <v>3</v>
      </c>
      <c r="I27" s="1">
        <v>1</v>
      </c>
      <c r="J27" s="1">
        <v>2</v>
      </c>
      <c r="K27" s="1">
        <v>3</v>
      </c>
      <c r="L27" s="1">
        <v>1</v>
      </c>
      <c r="M27" s="1">
        <v>1</v>
      </c>
      <c r="N27" s="1">
        <v>3</v>
      </c>
      <c r="O27" s="1">
        <v>1</v>
      </c>
      <c r="P27" s="1">
        <v>1</v>
      </c>
      <c r="Q27" s="1">
        <v>2</v>
      </c>
      <c r="R27" s="1">
        <v>6</v>
      </c>
      <c r="S27" s="1" t="str">
        <f t="shared" si="5"/>
        <v>HIGH</v>
      </c>
      <c r="T27" s="3">
        <v>46210.529166666667</v>
      </c>
      <c r="U27" s="3">
        <v>46210.538888888892</v>
      </c>
      <c r="V27" s="1">
        <f t="shared" si="6"/>
        <v>14</v>
      </c>
      <c r="W27" s="1" t="str">
        <f t="shared" si="7"/>
        <v>BAD</v>
      </c>
      <c r="X27" s="1">
        <f t="shared" si="8"/>
        <v>42.857142857142854</v>
      </c>
      <c r="Y27" s="1">
        <v>7</v>
      </c>
      <c r="Z27" s="1">
        <v>3</v>
      </c>
      <c r="AA27" s="1">
        <v>3</v>
      </c>
      <c r="AB27" s="1" t="str">
        <f t="shared" si="9"/>
        <v>LOW</v>
      </c>
      <c r="AC27" s="1">
        <v>1</v>
      </c>
      <c r="AD27" s="1" t="str">
        <f t="shared" si="10"/>
        <v>Adopted</v>
      </c>
      <c r="AE27" s="1">
        <v>0</v>
      </c>
      <c r="AF27" s="1" t="str">
        <f t="shared" si="0"/>
        <v>Not Returned</v>
      </c>
      <c r="AG27" s="1">
        <v>1</v>
      </c>
      <c r="AH27" t="str">
        <f t="shared" si="11"/>
        <v>Success</v>
      </c>
      <c r="AI27">
        <f t="shared" si="12"/>
        <v>7</v>
      </c>
      <c r="AJ27" t="str">
        <f t="shared" si="13"/>
        <v>High</v>
      </c>
    </row>
    <row r="28" spans="1:36" ht="22.15" customHeight="1" x14ac:dyDescent="0.2">
      <c r="A28" s="1" t="s">
        <v>89</v>
      </c>
      <c r="B28" s="1">
        <v>8</v>
      </c>
      <c r="C28" s="1" t="str">
        <f t="shared" si="1"/>
        <v>PASS</v>
      </c>
      <c r="D28" s="1">
        <v>4</v>
      </c>
      <c r="E28" s="1" t="str">
        <f t="shared" si="2"/>
        <v>SATISFIED</v>
      </c>
      <c r="F28" s="1">
        <f t="shared" si="3"/>
        <v>52.5</v>
      </c>
      <c r="G28" s="1" t="str">
        <f t="shared" si="4"/>
        <v>NEED IMPROVEMENT</v>
      </c>
      <c r="H28" s="1">
        <v>3</v>
      </c>
      <c r="I28" s="1">
        <v>3</v>
      </c>
      <c r="J28" s="1">
        <v>4</v>
      </c>
      <c r="K28" s="1">
        <v>4</v>
      </c>
      <c r="L28" s="1">
        <v>4</v>
      </c>
      <c r="M28" s="1">
        <v>4</v>
      </c>
      <c r="N28" s="1">
        <v>3</v>
      </c>
      <c r="O28" s="1">
        <v>3</v>
      </c>
      <c r="P28" s="1">
        <v>3</v>
      </c>
      <c r="Q28" s="1">
        <v>2</v>
      </c>
      <c r="R28" s="1">
        <v>3</v>
      </c>
      <c r="S28" s="1" t="str">
        <f t="shared" si="5"/>
        <v>LOW</v>
      </c>
      <c r="T28" s="3">
        <v>46230.748611111107</v>
      </c>
      <c r="U28" s="3">
        <v>46230.754166666673</v>
      </c>
      <c r="V28" s="1">
        <f t="shared" si="6"/>
        <v>8</v>
      </c>
      <c r="W28" s="1" t="str">
        <f t="shared" si="7"/>
        <v>SATISFACTORY</v>
      </c>
      <c r="X28" s="1">
        <f t="shared" si="8"/>
        <v>0</v>
      </c>
      <c r="Y28" s="1">
        <v>5</v>
      </c>
      <c r="Z28" s="1">
        <v>0</v>
      </c>
      <c r="AA28" s="1">
        <v>7</v>
      </c>
      <c r="AB28" s="1" t="str">
        <f t="shared" si="9"/>
        <v>MEDIUM</v>
      </c>
      <c r="AC28" s="1">
        <v>1</v>
      </c>
      <c r="AD28" s="1" t="str">
        <f t="shared" si="10"/>
        <v>Adopted</v>
      </c>
      <c r="AE28" s="1">
        <v>1</v>
      </c>
      <c r="AF28" s="1" t="str">
        <f t="shared" si="0"/>
        <v>Returned</v>
      </c>
      <c r="AG28" s="1">
        <v>1</v>
      </c>
      <c r="AH28" t="str">
        <f t="shared" si="11"/>
        <v>Success</v>
      </c>
      <c r="AI28">
        <f t="shared" si="12"/>
        <v>1</v>
      </c>
      <c r="AJ28" t="str">
        <f t="shared" si="13"/>
        <v>Low</v>
      </c>
    </row>
    <row r="29" spans="1:36" ht="22.15" customHeight="1" x14ac:dyDescent="0.2">
      <c r="A29" s="1" t="s">
        <v>90</v>
      </c>
      <c r="B29" s="1">
        <v>10</v>
      </c>
      <c r="C29" s="1" t="str">
        <f t="shared" si="1"/>
        <v>PROM</v>
      </c>
      <c r="D29" s="1">
        <v>5</v>
      </c>
      <c r="E29" s="1" t="str">
        <f t="shared" si="2"/>
        <v>SATISFIED</v>
      </c>
      <c r="F29" s="1">
        <f t="shared" si="3"/>
        <v>45</v>
      </c>
      <c r="G29" s="1" t="str">
        <f t="shared" si="4"/>
        <v>POOR</v>
      </c>
      <c r="H29" s="1">
        <v>3</v>
      </c>
      <c r="I29" s="1">
        <v>5</v>
      </c>
      <c r="J29" s="1">
        <v>3</v>
      </c>
      <c r="K29" s="1">
        <v>3</v>
      </c>
      <c r="L29" s="1">
        <v>3</v>
      </c>
      <c r="M29" s="1">
        <v>4</v>
      </c>
      <c r="N29" s="1">
        <v>4</v>
      </c>
      <c r="O29" s="1">
        <v>2</v>
      </c>
      <c r="P29" s="1">
        <v>3</v>
      </c>
      <c r="Q29" s="1">
        <v>4</v>
      </c>
      <c r="R29" s="1">
        <v>4</v>
      </c>
      <c r="S29" s="1" t="str">
        <f t="shared" si="5"/>
        <v>MODERATE</v>
      </c>
      <c r="T29" s="3">
        <v>46222.611111111109</v>
      </c>
      <c r="U29" s="3">
        <v>46222.616666666669</v>
      </c>
      <c r="V29" s="1">
        <f t="shared" si="6"/>
        <v>8</v>
      </c>
      <c r="W29" s="1" t="str">
        <f t="shared" si="7"/>
        <v>SATISFACTORY</v>
      </c>
      <c r="X29" s="1">
        <f t="shared" si="8"/>
        <v>33.333333333333329</v>
      </c>
      <c r="Y29" s="1">
        <v>6</v>
      </c>
      <c r="Z29" s="1">
        <v>2</v>
      </c>
      <c r="AA29" s="1">
        <v>1</v>
      </c>
      <c r="AB29" s="1" t="str">
        <f t="shared" si="9"/>
        <v>LOW</v>
      </c>
      <c r="AC29" s="1">
        <v>1</v>
      </c>
      <c r="AD29" s="1" t="str">
        <f t="shared" si="10"/>
        <v>Adopted</v>
      </c>
      <c r="AE29" s="1">
        <v>1</v>
      </c>
      <c r="AF29" s="1" t="str">
        <f t="shared" si="0"/>
        <v>Returned</v>
      </c>
      <c r="AG29" s="1">
        <v>1</v>
      </c>
      <c r="AH29" t="str">
        <f t="shared" si="11"/>
        <v>Success</v>
      </c>
      <c r="AI29">
        <f t="shared" si="12"/>
        <v>4</v>
      </c>
      <c r="AJ29" t="str">
        <f t="shared" si="13"/>
        <v>Medium</v>
      </c>
    </row>
    <row r="30" spans="1:36" ht="22.15" customHeight="1" x14ac:dyDescent="0.2">
      <c r="A30" s="1" t="s">
        <v>91</v>
      </c>
      <c r="B30" s="1">
        <v>7</v>
      </c>
      <c r="C30" s="1" t="str">
        <f t="shared" si="1"/>
        <v>PASS</v>
      </c>
      <c r="D30" s="1">
        <v>4</v>
      </c>
      <c r="E30" s="1" t="str">
        <f t="shared" si="2"/>
        <v>SATISFIED</v>
      </c>
      <c r="F30" s="1">
        <f t="shared" si="3"/>
        <v>57.5</v>
      </c>
      <c r="G30" s="1" t="str">
        <f t="shared" si="4"/>
        <v>NEED IMPROVEMENT</v>
      </c>
      <c r="H30" s="1">
        <v>4</v>
      </c>
      <c r="I30" s="1">
        <v>4</v>
      </c>
      <c r="J30" s="1">
        <v>4</v>
      </c>
      <c r="K30" s="1">
        <v>2</v>
      </c>
      <c r="L30" s="1">
        <v>5</v>
      </c>
      <c r="M30" s="1">
        <v>3</v>
      </c>
      <c r="N30" s="1">
        <v>3</v>
      </c>
      <c r="O30" s="1">
        <v>3</v>
      </c>
      <c r="P30" s="1">
        <v>2</v>
      </c>
      <c r="Q30" s="1">
        <v>3</v>
      </c>
      <c r="R30" s="1">
        <v>4</v>
      </c>
      <c r="S30" s="1" t="str">
        <f t="shared" si="5"/>
        <v>MODERATE</v>
      </c>
      <c r="T30" s="3">
        <v>46219.769444444442</v>
      </c>
      <c r="U30" s="3">
        <v>46219.775694444441</v>
      </c>
      <c r="V30" s="1">
        <f t="shared" si="6"/>
        <v>9</v>
      </c>
      <c r="W30" s="1" t="str">
        <f t="shared" si="7"/>
        <v>SATISFACTORY</v>
      </c>
      <c r="X30" s="1">
        <f t="shared" si="8"/>
        <v>0</v>
      </c>
      <c r="Y30" s="1">
        <v>4</v>
      </c>
      <c r="Z30" s="1">
        <v>0</v>
      </c>
      <c r="AA30" s="1">
        <v>11</v>
      </c>
      <c r="AB30" s="1" t="str">
        <f t="shared" si="9"/>
        <v>HIGH</v>
      </c>
      <c r="AC30" s="1">
        <v>1</v>
      </c>
      <c r="AD30" s="1" t="str">
        <f t="shared" si="10"/>
        <v>Adopted</v>
      </c>
      <c r="AE30" s="1">
        <v>1</v>
      </c>
      <c r="AF30" s="1" t="str">
        <f t="shared" si="0"/>
        <v>Returned</v>
      </c>
      <c r="AG30" s="1">
        <v>1</v>
      </c>
      <c r="AH30" t="str">
        <f t="shared" si="11"/>
        <v>Success</v>
      </c>
      <c r="AI30">
        <f t="shared" si="12"/>
        <v>1</v>
      </c>
      <c r="AJ30" t="str">
        <f t="shared" si="13"/>
        <v>Low</v>
      </c>
    </row>
    <row r="31" spans="1:36" ht="22.15" customHeight="1" x14ac:dyDescent="0.2">
      <c r="A31" s="1" t="s">
        <v>92</v>
      </c>
      <c r="B31" s="1">
        <v>9</v>
      </c>
      <c r="C31" s="1" t="str">
        <f t="shared" si="1"/>
        <v>PROM</v>
      </c>
      <c r="D31" s="1">
        <v>5</v>
      </c>
      <c r="E31" s="1" t="str">
        <f t="shared" si="2"/>
        <v>SATISFIED</v>
      </c>
      <c r="F31" s="1">
        <f t="shared" si="3"/>
        <v>52.5</v>
      </c>
      <c r="G31" s="1" t="str">
        <f t="shared" si="4"/>
        <v>NEED IMPROVEMENT</v>
      </c>
      <c r="H31" s="1">
        <v>5</v>
      </c>
      <c r="I31" s="1">
        <v>5</v>
      </c>
      <c r="J31" s="1">
        <v>4</v>
      </c>
      <c r="K31" s="1">
        <v>5</v>
      </c>
      <c r="L31" s="1">
        <v>5</v>
      </c>
      <c r="M31" s="1">
        <v>3</v>
      </c>
      <c r="N31" s="1">
        <v>5</v>
      </c>
      <c r="O31" s="1">
        <v>4</v>
      </c>
      <c r="P31" s="1">
        <v>4</v>
      </c>
      <c r="Q31" s="1">
        <v>5</v>
      </c>
      <c r="R31" s="1">
        <v>4</v>
      </c>
      <c r="S31" s="1" t="str">
        <f t="shared" si="5"/>
        <v>MODERATE</v>
      </c>
      <c r="T31" s="3">
        <v>46211.649305555547</v>
      </c>
      <c r="U31" s="3">
        <v>46211.650694444441</v>
      </c>
      <c r="V31" s="1">
        <f t="shared" si="6"/>
        <v>2</v>
      </c>
      <c r="W31" s="1" t="str">
        <f t="shared" si="7"/>
        <v>GOOD</v>
      </c>
      <c r="X31" s="1">
        <f t="shared" si="8"/>
        <v>25</v>
      </c>
      <c r="Y31" s="1">
        <v>4</v>
      </c>
      <c r="Z31" s="1">
        <v>1</v>
      </c>
      <c r="AA31" s="1">
        <v>11</v>
      </c>
      <c r="AB31" s="1" t="str">
        <f t="shared" si="9"/>
        <v>HIGH</v>
      </c>
      <c r="AC31" s="1">
        <v>1</v>
      </c>
      <c r="AD31" s="1" t="str">
        <f t="shared" si="10"/>
        <v>Adopted</v>
      </c>
      <c r="AE31" s="1">
        <v>1</v>
      </c>
      <c r="AF31" s="1" t="str">
        <f t="shared" si="0"/>
        <v>Returned</v>
      </c>
      <c r="AG31" s="1">
        <v>1</v>
      </c>
      <c r="AH31" t="str">
        <f t="shared" si="11"/>
        <v>Success</v>
      </c>
      <c r="AI31">
        <f t="shared" si="12"/>
        <v>1</v>
      </c>
      <c r="AJ31" t="str">
        <f t="shared" si="13"/>
        <v>Low</v>
      </c>
    </row>
    <row r="32" spans="1:36" ht="22.15" customHeight="1" x14ac:dyDescent="0.2">
      <c r="A32" s="1" t="s">
        <v>93</v>
      </c>
      <c r="B32" s="1">
        <v>7</v>
      </c>
      <c r="C32" s="1" t="str">
        <f t="shared" si="1"/>
        <v>PASS</v>
      </c>
      <c r="D32" s="1">
        <v>5</v>
      </c>
      <c r="E32" s="1" t="str">
        <f t="shared" si="2"/>
        <v>SATISFIED</v>
      </c>
      <c r="F32" s="1">
        <f t="shared" si="3"/>
        <v>45</v>
      </c>
      <c r="G32" s="1" t="str">
        <f t="shared" si="4"/>
        <v>POOR</v>
      </c>
      <c r="H32" s="1">
        <v>4</v>
      </c>
      <c r="I32" s="1">
        <v>3</v>
      </c>
      <c r="J32" s="1">
        <v>3</v>
      </c>
      <c r="K32" s="1">
        <v>2</v>
      </c>
      <c r="L32" s="1">
        <v>3</v>
      </c>
      <c r="M32" s="1">
        <v>4</v>
      </c>
      <c r="N32" s="1">
        <v>3</v>
      </c>
      <c r="O32" s="1">
        <v>4</v>
      </c>
      <c r="P32" s="1">
        <v>2</v>
      </c>
      <c r="Q32" s="1">
        <v>4</v>
      </c>
      <c r="R32" s="1">
        <v>4</v>
      </c>
      <c r="S32" s="1" t="str">
        <f t="shared" si="5"/>
        <v>MODERATE</v>
      </c>
      <c r="T32" s="3">
        <v>46231.488888888889</v>
      </c>
      <c r="U32" s="3">
        <v>46231.495138888888</v>
      </c>
      <c r="V32" s="1">
        <f t="shared" si="6"/>
        <v>9</v>
      </c>
      <c r="W32" s="1" t="str">
        <f t="shared" si="7"/>
        <v>SATISFACTORY</v>
      </c>
      <c r="X32" s="1">
        <f t="shared" si="8"/>
        <v>0</v>
      </c>
      <c r="Y32" s="1">
        <v>6</v>
      </c>
      <c r="Z32" s="1">
        <v>0</v>
      </c>
      <c r="AA32" s="1">
        <v>10</v>
      </c>
      <c r="AB32" s="1" t="str">
        <f t="shared" si="9"/>
        <v>MEDIUM</v>
      </c>
      <c r="AC32" s="1">
        <v>1</v>
      </c>
      <c r="AD32" s="1" t="str">
        <f t="shared" si="10"/>
        <v>Adopted</v>
      </c>
      <c r="AE32" s="1">
        <v>1</v>
      </c>
      <c r="AF32" s="1" t="str">
        <f t="shared" si="0"/>
        <v>Returned</v>
      </c>
      <c r="AG32" s="1">
        <v>0</v>
      </c>
      <c r="AH32" t="str">
        <f t="shared" si="11"/>
        <v>Fail</v>
      </c>
      <c r="AI32">
        <f t="shared" si="12"/>
        <v>3</v>
      </c>
      <c r="AJ32" t="str">
        <f t="shared" si="13"/>
        <v>Low</v>
      </c>
    </row>
    <row r="33" spans="1:36" ht="22.15" customHeight="1" x14ac:dyDescent="0.2">
      <c r="A33" s="1" t="s">
        <v>94</v>
      </c>
      <c r="B33" s="1">
        <v>9</v>
      </c>
      <c r="C33" s="1" t="str">
        <f t="shared" si="1"/>
        <v>PROM</v>
      </c>
      <c r="D33" s="1">
        <v>5</v>
      </c>
      <c r="E33" s="1" t="str">
        <f t="shared" si="2"/>
        <v>SATISFIED</v>
      </c>
      <c r="F33" s="1">
        <f t="shared" si="3"/>
        <v>50</v>
      </c>
      <c r="G33" s="1" t="str">
        <f t="shared" si="4"/>
        <v>POOR</v>
      </c>
      <c r="H33" s="1">
        <v>3</v>
      </c>
      <c r="I33" s="1">
        <v>3</v>
      </c>
      <c r="J33" s="1">
        <v>3</v>
      </c>
      <c r="K33" s="1">
        <v>3</v>
      </c>
      <c r="L33" s="1">
        <v>3</v>
      </c>
      <c r="M33" s="1">
        <v>4</v>
      </c>
      <c r="N33" s="1">
        <v>4</v>
      </c>
      <c r="O33" s="1">
        <v>3</v>
      </c>
      <c r="P33" s="1">
        <v>3</v>
      </c>
      <c r="Q33" s="1">
        <v>3</v>
      </c>
      <c r="R33" s="1">
        <v>4</v>
      </c>
      <c r="S33" s="1" t="str">
        <f t="shared" si="5"/>
        <v>MODERATE</v>
      </c>
      <c r="T33" s="3">
        <v>46223.611805555563</v>
      </c>
      <c r="U33" s="3">
        <v>46223.616666666669</v>
      </c>
      <c r="V33" s="1">
        <f t="shared" si="6"/>
        <v>7</v>
      </c>
      <c r="W33" s="1" t="str">
        <f t="shared" si="7"/>
        <v>SATISFACTORY</v>
      </c>
      <c r="X33" s="1">
        <f t="shared" si="8"/>
        <v>0</v>
      </c>
      <c r="Y33" s="1">
        <v>6</v>
      </c>
      <c r="Z33" s="1">
        <v>0</v>
      </c>
      <c r="AA33" s="1">
        <v>7</v>
      </c>
      <c r="AB33" s="1" t="str">
        <f t="shared" si="9"/>
        <v>MEDIUM</v>
      </c>
      <c r="AC33" s="1">
        <v>1</v>
      </c>
      <c r="AD33" s="1" t="str">
        <f t="shared" si="10"/>
        <v>Adopted</v>
      </c>
      <c r="AE33" s="1">
        <v>1</v>
      </c>
      <c r="AF33" s="1" t="str">
        <f t="shared" si="0"/>
        <v>Returned</v>
      </c>
      <c r="AG33" s="1">
        <v>1</v>
      </c>
      <c r="AH33" t="str">
        <f t="shared" si="11"/>
        <v>Success</v>
      </c>
      <c r="AI33">
        <f t="shared" si="12"/>
        <v>2</v>
      </c>
      <c r="AJ33" t="str">
        <f t="shared" si="13"/>
        <v>Low</v>
      </c>
    </row>
    <row r="34" spans="1:36" ht="22.15" customHeight="1" x14ac:dyDescent="0.2">
      <c r="A34" s="1" t="s">
        <v>95</v>
      </c>
      <c r="B34" s="1">
        <v>8</v>
      </c>
      <c r="C34" s="1" t="str">
        <f t="shared" si="1"/>
        <v>PASS</v>
      </c>
      <c r="D34" s="1">
        <v>4</v>
      </c>
      <c r="E34" s="1" t="str">
        <f t="shared" si="2"/>
        <v>SATISFIED</v>
      </c>
      <c r="F34" s="1">
        <f t="shared" si="3"/>
        <v>52.5</v>
      </c>
      <c r="G34" s="1" t="str">
        <f t="shared" si="4"/>
        <v>NEED IMPROVEMENT</v>
      </c>
      <c r="H34" s="1">
        <v>5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3</v>
      </c>
      <c r="S34" s="1" t="str">
        <f t="shared" si="5"/>
        <v>LOW</v>
      </c>
      <c r="T34" s="3">
        <v>46217.427083333343</v>
      </c>
      <c r="U34" s="3">
        <v>46217.428472222222</v>
      </c>
      <c r="V34" s="1">
        <f t="shared" si="6"/>
        <v>2</v>
      </c>
      <c r="W34" s="1" t="str">
        <f t="shared" si="7"/>
        <v>GOOD</v>
      </c>
      <c r="X34" s="1">
        <f t="shared" si="8"/>
        <v>50</v>
      </c>
      <c r="Y34" s="1">
        <v>4</v>
      </c>
      <c r="Z34" s="1">
        <v>2</v>
      </c>
      <c r="AA34" s="1">
        <v>6</v>
      </c>
      <c r="AB34" s="1" t="str">
        <f t="shared" si="9"/>
        <v>LOW</v>
      </c>
      <c r="AC34" s="1">
        <v>0</v>
      </c>
      <c r="AD34" s="1" t="str">
        <f t="shared" si="10"/>
        <v>NOt Adopted</v>
      </c>
      <c r="AE34" s="1">
        <v>1</v>
      </c>
      <c r="AF34" s="1" t="str">
        <f t="shared" si="0"/>
        <v>Returned</v>
      </c>
      <c r="AG34" s="1">
        <v>1</v>
      </c>
      <c r="AH34" t="str">
        <f t="shared" si="11"/>
        <v>Success</v>
      </c>
      <c r="AI34">
        <f t="shared" si="12"/>
        <v>3</v>
      </c>
      <c r="AJ34" t="str">
        <f t="shared" si="13"/>
        <v>Low</v>
      </c>
    </row>
    <row r="35" spans="1:36" ht="22.15" customHeight="1" x14ac:dyDescent="0.2">
      <c r="A35" s="1" t="s">
        <v>96</v>
      </c>
      <c r="B35" s="1">
        <v>6</v>
      </c>
      <c r="C35" s="1" t="str">
        <f t="shared" si="1"/>
        <v>DECTATOR</v>
      </c>
      <c r="D35" s="1">
        <v>4</v>
      </c>
      <c r="E35" s="1" t="str">
        <f t="shared" si="2"/>
        <v>SATISFIED</v>
      </c>
      <c r="F35" s="1">
        <f t="shared" si="3"/>
        <v>50</v>
      </c>
      <c r="G35" s="1" t="str">
        <f t="shared" si="4"/>
        <v>POOR</v>
      </c>
      <c r="H35" s="1">
        <v>3</v>
      </c>
      <c r="I35" s="1">
        <v>4</v>
      </c>
      <c r="J35" s="1">
        <v>2</v>
      </c>
      <c r="K35" s="1">
        <v>3</v>
      </c>
      <c r="L35" s="1">
        <v>3</v>
      </c>
      <c r="M35" s="1">
        <v>2</v>
      </c>
      <c r="N35" s="1">
        <v>4</v>
      </c>
      <c r="O35" s="1">
        <v>2</v>
      </c>
      <c r="P35" s="1">
        <v>2</v>
      </c>
      <c r="Q35" s="1">
        <v>3</v>
      </c>
      <c r="R35" s="1">
        <v>6</v>
      </c>
      <c r="S35" s="1" t="str">
        <f t="shared" si="5"/>
        <v>HIGH</v>
      </c>
      <c r="T35" s="3">
        <v>46210.620833333327</v>
      </c>
      <c r="U35" s="3">
        <v>46210.632638888892</v>
      </c>
      <c r="V35" s="1">
        <f t="shared" si="6"/>
        <v>17</v>
      </c>
      <c r="W35" s="1" t="str">
        <f t="shared" si="7"/>
        <v>BAD</v>
      </c>
      <c r="X35" s="1">
        <f t="shared" si="8"/>
        <v>0</v>
      </c>
      <c r="Y35" s="1">
        <v>4</v>
      </c>
      <c r="Z35" s="1">
        <v>0</v>
      </c>
      <c r="AA35" s="1">
        <v>5</v>
      </c>
      <c r="AB35" s="1" t="str">
        <f t="shared" si="9"/>
        <v>LOW</v>
      </c>
      <c r="AC35" s="1">
        <v>0</v>
      </c>
      <c r="AD35" s="1" t="str">
        <f t="shared" si="10"/>
        <v>NOt Adopted</v>
      </c>
      <c r="AE35" s="1">
        <v>1</v>
      </c>
      <c r="AF35" s="1" t="str">
        <f t="shared" si="0"/>
        <v>Returned</v>
      </c>
      <c r="AG35" s="1">
        <v>1</v>
      </c>
      <c r="AH35" t="str">
        <f t="shared" si="11"/>
        <v>Success</v>
      </c>
      <c r="AI35">
        <f t="shared" si="12"/>
        <v>5</v>
      </c>
      <c r="AJ35" t="str">
        <f t="shared" si="13"/>
        <v>Medium</v>
      </c>
    </row>
    <row r="36" spans="1:36" ht="22.15" customHeight="1" x14ac:dyDescent="0.2">
      <c r="A36" s="1" t="s">
        <v>97</v>
      </c>
      <c r="B36" s="1">
        <v>4</v>
      </c>
      <c r="C36" s="1" t="str">
        <f t="shared" si="1"/>
        <v>DECTATOR</v>
      </c>
      <c r="D36" s="1">
        <v>3</v>
      </c>
      <c r="E36" s="1" t="str">
        <f t="shared" si="2"/>
        <v>NOT-SATISFIED</v>
      </c>
      <c r="F36" s="1">
        <f t="shared" si="3"/>
        <v>52.5</v>
      </c>
      <c r="G36" s="1" t="str">
        <f t="shared" si="4"/>
        <v>NEED IMPROVEMENT</v>
      </c>
      <c r="H36" s="1">
        <v>2</v>
      </c>
      <c r="I36" s="1">
        <v>2</v>
      </c>
      <c r="J36" s="1">
        <v>3</v>
      </c>
      <c r="K36" s="1">
        <v>2</v>
      </c>
      <c r="L36" s="1">
        <v>2</v>
      </c>
      <c r="M36" s="1">
        <v>1</v>
      </c>
      <c r="N36" s="1">
        <v>2</v>
      </c>
      <c r="O36" s="1">
        <v>3</v>
      </c>
      <c r="P36" s="1">
        <v>2</v>
      </c>
      <c r="Q36" s="1">
        <v>2</v>
      </c>
      <c r="R36" s="1">
        <v>5</v>
      </c>
      <c r="S36" s="1" t="str">
        <f t="shared" si="5"/>
        <v>MODERATE</v>
      </c>
      <c r="T36" s="3">
        <v>46227.779861111107</v>
      </c>
      <c r="U36" s="3">
        <v>46227.790972222218</v>
      </c>
      <c r="V36" s="1">
        <f t="shared" si="6"/>
        <v>16</v>
      </c>
      <c r="W36" s="1" t="str">
        <f t="shared" si="7"/>
        <v>BAD</v>
      </c>
      <c r="X36" s="1">
        <f t="shared" si="8"/>
        <v>25</v>
      </c>
      <c r="Y36" s="1">
        <v>4</v>
      </c>
      <c r="Z36" s="1">
        <v>1</v>
      </c>
      <c r="AA36" s="1">
        <v>1</v>
      </c>
      <c r="AB36" s="1" t="str">
        <f t="shared" si="9"/>
        <v>LOW</v>
      </c>
      <c r="AC36" s="1">
        <v>1</v>
      </c>
      <c r="AD36" s="1" t="str">
        <f t="shared" si="10"/>
        <v>Adopted</v>
      </c>
      <c r="AE36" s="1">
        <v>1</v>
      </c>
      <c r="AF36" s="1" t="str">
        <f t="shared" si="0"/>
        <v>Returned</v>
      </c>
      <c r="AG36" s="1">
        <v>0</v>
      </c>
      <c r="AH36" t="str">
        <f t="shared" si="11"/>
        <v>Fail</v>
      </c>
      <c r="AI36">
        <f t="shared" si="12"/>
        <v>6</v>
      </c>
      <c r="AJ36" t="str">
        <f t="shared" si="13"/>
        <v>High</v>
      </c>
    </row>
    <row r="37" spans="1:36" ht="22.15" customHeight="1" x14ac:dyDescent="0.2">
      <c r="A37" s="1" t="s">
        <v>98</v>
      </c>
      <c r="B37" s="1">
        <v>6</v>
      </c>
      <c r="C37" s="1" t="str">
        <f t="shared" si="1"/>
        <v>DECTATOR</v>
      </c>
      <c r="D37" s="1">
        <v>3</v>
      </c>
      <c r="E37" s="1" t="str">
        <f t="shared" si="2"/>
        <v>NOT-SATISFIED</v>
      </c>
      <c r="F37" s="1">
        <f t="shared" si="3"/>
        <v>45</v>
      </c>
      <c r="G37" s="1" t="str">
        <f t="shared" si="4"/>
        <v>POOR</v>
      </c>
      <c r="H37" s="1">
        <v>2</v>
      </c>
      <c r="I37" s="1">
        <v>1</v>
      </c>
      <c r="J37" s="1">
        <v>2</v>
      </c>
      <c r="K37" s="1">
        <v>3</v>
      </c>
      <c r="L37" s="1">
        <v>2</v>
      </c>
      <c r="M37" s="1">
        <v>3</v>
      </c>
      <c r="N37" s="1">
        <v>2</v>
      </c>
      <c r="O37" s="1">
        <v>3</v>
      </c>
      <c r="P37" s="1">
        <v>2</v>
      </c>
      <c r="Q37" s="1">
        <v>2</v>
      </c>
      <c r="R37" s="1">
        <v>2</v>
      </c>
      <c r="S37" s="1" t="str">
        <f t="shared" si="5"/>
        <v>LOW</v>
      </c>
      <c r="T37" s="3">
        <v>46206.45</v>
      </c>
      <c r="U37" s="3">
        <v>46206.459027777782</v>
      </c>
      <c r="V37" s="1">
        <f t="shared" si="6"/>
        <v>13</v>
      </c>
      <c r="W37" s="1" t="str">
        <f t="shared" si="7"/>
        <v>BAD</v>
      </c>
      <c r="X37" s="1">
        <f t="shared" si="8"/>
        <v>12.5</v>
      </c>
      <c r="Y37" s="1">
        <v>8</v>
      </c>
      <c r="Z37" s="1">
        <v>1</v>
      </c>
      <c r="AA37" s="1">
        <v>3</v>
      </c>
      <c r="AB37" s="1" t="str">
        <f t="shared" si="9"/>
        <v>LOW</v>
      </c>
      <c r="AC37" s="1">
        <v>1</v>
      </c>
      <c r="AD37" s="1" t="str">
        <f t="shared" si="10"/>
        <v>Adopted</v>
      </c>
      <c r="AE37" s="1">
        <v>0</v>
      </c>
      <c r="AF37" s="1" t="str">
        <f t="shared" si="0"/>
        <v>Not Returned</v>
      </c>
      <c r="AG37" s="1">
        <v>1</v>
      </c>
      <c r="AH37" t="str">
        <f t="shared" si="11"/>
        <v>Success</v>
      </c>
      <c r="AI37">
        <f t="shared" si="12"/>
        <v>5</v>
      </c>
      <c r="AJ37" t="str">
        <f t="shared" si="13"/>
        <v>Medium</v>
      </c>
    </row>
    <row r="38" spans="1:36" ht="22.15" customHeight="1" x14ac:dyDescent="0.2">
      <c r="A38" s="1" t="s">
        <v>99</v>
      </c>
      <c r="B38" s="1">
        <v>3</v>
      </c>
      <c r="C38" s="1" t="str">
        <f t="shared" si="1"/>
        <v>DECTATOR</v>
      </c>
      <c r="D38" s="1">
        <v>3</v>
      </c>
      <c r="E38" s="1" t="str">
        <f t="shared" si="2"/>
        <v>NOT-SATISFIED</v>
      </c>
      <c r="F38" s="1">
        <f t="shared" si="3"/>
        <v>55</v>
      </c>
      <c r="G38" s="1" t="str">
        <f t="shared" si="4"/>
        <v>NEED IMPROVEMENT</v>
      </c>
      <c r="H38" s="1">
        <v>2</v>
      </c>
      <c r="I38" s="1">
        <v>2</v>
      </c>
      <c r="J38" s="1">
        <v>3</v>
      </c>
      <c r="K38" s="1">
        <v>2</v>
      </c>
      <c r="L38" s="1">
        <v>2</v>
      </c>
      <c r="M38" s="1">
        <v>2</v>
      </c>
      <c r="N38" s="1">
        <v>3</v>
      </c>
      <c r="O38" s="1">
        <v>3</v>
      </c>
      <c r="P38" s="1">
        <v>3</v>
      </c>
      <c r="Q38" s="1">
        <v>2</v>
      </c>
      <c r="R38" s="1">
        <v>5</v>
      </c>
      <c r="S38" s="1" t="str">
        <f t="shared" si="5"/>
        <v>MODERATE</v>
      </c>
      <c r="T38" s="3">
        <v>46217.380555555559</v>
      </c>
      <c r="U38" s="3">
        <v>46217.390972222223</v>
      </c>
      <c r="V38" s="1">
        <f t="shared" si="6"/>
        <v>15</v>
      </c>
      <c r="W38" s="1" t="str">
        <f t="shared" si="7"/>
        <v>BAD</v>
      </c>
      <c r="X38" s="1">
        <f t="shared" si="8"/>
        <v>33.333333333333329</v>
      </c>
      <c r="Y38" s="1">
        <v>6</v>
      </c>
      <c r="Z38" s="1">
        <v>2</v>
      </c>
      <c r="AA38" s="1">
        <v>6</v>
      </c>
      <c r="AB38" s="1" t="str">
        <f t="shared" si="9"/>
        <v>LOW</v>
      </c>
      <c r="AC38" s="1">
        <v>1</v>
      </c>
      <c r="AD38" s="1" t="str">
        <f t="shared" si="10"/>
        <v>Adopted</v>
      </c>
      <c r="AE38" s="1">
        <v>0</v>
      </c>
      <c r="AF38" s="1" t="str">
        <f t="shared" si="0"/>
        <v>Not Returned</v>
      </c>
      <c r="AG38" s="1">
        <v>0</v>
      </c>
      <c r="AH38" t="str">
        <f t="shared" si="11"/>
        <v>Fail</v>
      </c>
      <c r="AI38">
        <f t="shared" si="12"/>
        <v>7</v>
      </c>
      <c r="AJ38" t="str">
        <f t="shared" si="13"/>
        <v>High</v>
      </c>
    </row>
    <row r="39" spans="1:36" ht="22.15" customHeight="1" x14ac:dyDescent="0.2">
      <c r="A39" s="1" t="s">
        <v>100</v>
      </c>
      <c r="B39" s="1">
        <v>8</v>
      </c>
      <c r="C39" s="1" t="str">
        <f t="shared" si="1"/>
        <v>PASS</v>
      </c>
      <c r="D39" s="1">
        <v>3</v>
      </c>
      <c r="E39" s="1" t="str">
        <f t="shared" si="2"/>
        <v>NOT-SATISFIED</v>
      </c>
      <c r="F39" s="1">
        <f t="shared" si="3"/>
        <v>55</v>
      </c>
      <c r="G39" s="1" t="str">
        <f t="shared" si="4"/>
        <v>NEED IMPROVEMENT</v>
      </c>
      <c r="H39" s="1">
        <v>2</v>
      </c>
      <c r="I39" s="1">
        <v>3</v>
      </c>
      <c r="J39" s="1">
        <v>3</v>
      </c>
      <c r="K39" s="1">
        <v>3</v>
      </c>
      <c r="L39" s="1">
        <v>2</v>
      </c>
      <c r="M39" s="1">
        <v>2</v>
      </c>
      <c r="N39" s="1">
        <v>3</v>
      </c>
      <c r="O39" s="1">
        <v>2</v>
      </c>
      <c r="P39" s="1">
        <v>4</v>
      </c>
      <c r="Q39" s="1">
        <v>2</v>
      </c>
      <c r="R39" s="1">
        <v>5</v>
      </c>
      <c r="S39" s="1" t="str">
        <f t="shared" si="5"/>
        <v>MODERATE</v>
      </c>
      <c r="T39" s="3">
        <v>46224.543749999997</v>
      </c>
      <c r="U39" s="3">
        <v>46224.554861111108</v>
      </c>
      <c r="V39" s="1">
        <f t="shared" si="6"/>
        <v>16</v>
      </c>
      <c r="W39" s="1" t="str">
        <f t="shared" si="7"/>
        <v>BAD</v>
      </c>
      <c r="X39" s="1">
        <f t="shared" si="8"/>
        <v>25</v>
      </c>
      <c r="Y39" s="1">
        <v>4</v>
      </c>
      <c r="Z39" s="1">
        <v>1</v>
      </c>
      <c r="AA39" s="1">
        <v>6</v>
      </c>
      <c r="AB39" s="1" t="str">
        <f t="shared" si="9"/>
        <v>LOW</v>
      </c>
      <c r="AC39" s="1">
        <v>1</v>
      </c>
      <c r="AD39" s="1" t="str">
        <f t="shared" si="10"/>
        <v>Adopted</v>
      </c>
      <c r="AE39" s="1">
        <v>1</v>
      </c>
      <c r="AF39" s="1" t="str">
        <f t="shared" si="0"/>
        <v>Returned</v>
      </c>
      <c r="AG39" s="1">
        <v>1</v>
      </c>
      <c r="AH39" t="str">
        <f t="shared" si="11"/>
        <v>Success</v>
      </c>
      <c r="AI39">
        <f t="shared" si="12"/>
        <v>3</v>
      </c>
      <c r="AJ39" t="str">
        <f t="shared" si="13"/>
        <v>Low</v>
      </c>
    </row>
    <row r="40" spans="1:36" ht="22.15" customHeight="1" x14ac:dyDescent="0.2">
      <c r="A40" s="1" t="s">
        <v>101</v>
      </c>
      <c r="B40" s="1">
        <v>7</v>
      </c>
      <c r="C40" s="1" t="str">
        <f t="shared" si="1"/>
        <v>PASS</v>
      </c>
      <c r="D40" s="1">
        <v>4</v>
      </c>
      <c r="E40" s="1" t="str">
        <f t="shared" si="2"/>
        <v>SATISFIED</v>
      </c>
      <c r="F40" s="1">
        <f t="shared" si="3"/>
        <v>55</v>
      </c>
      <c r="G40" s="1" t="str">
        <f t="shared" si="4"/>
        <v>NEED IMPROVEMENT</v>
      </c>
      <c r="H40" s="1">
        <v>4</v>
      </c>
      <c r="I40" s="1">
        <v>4</v>
      </c>
      <c r="J40" s="1">
        <v>3</v>
      </c>
      <c r="K40" s="1">
        <v>4</v>
      </c>
      <c r="L40" s="1">
        <v>4</v>
      </c>
      <c r="M40" s="1">
        <v>3</v>
      </c>
      <c r="N40" s="1">
        <v>4</v>
      </c>
      <c r="O40" s="1">
        <v>4</v>
      </c>
      <c r="P40" s="1">
        <v>5</v>
      </c>
      <c r="Q40" s="1">
        <v>3</v>
      </c>
      <c r="R40" s="1">
        <v>4</v>
      </c>
      <c r="S40" s="1" t="str">
        <f t="shared" si="5"/>
        <v>MODERATE</v>
      </c>
      <c r="T40" s="3">
        <v>46208.44027777778</v>
      </c>
      <c r="U40" s="3">
        <v>46208.445833333331</v>
      </c>
      <c r="V40" s="1">
        <f t="shared" si="6"/>
        <v>8</v>
      </c>
      <c r="W40" s="1" t="str">
        <f t="shared" si="7"/>
        <v>SATISFACTORY</v>
      </c>
      <c r="X40" s="1">
        <f t="shared" si="8"/>
        <v>60</v>
      </c>
      <c r="Y40" s="1">
        <v>5</v>
      </c>
      <c r="Z40" s="1">
        <v>3</v>
      </c>
      <c r="AA40" s="1">
        <v>6</v>
      </c>
      <c r="AB40" s="1" t="str">
        <f t="shared" si="9"/>
        <v>LOW</v>
      </c>
      <c r="AC40" s="1">
        <v>1</v>
      </c>
      <c r="AD40" s="1" t="str">
        <f t="shared" si="10"/>
        <v>Adopted</v>
      </c>
      <c r="AE40" s="1">
        <v>1</v>
      </c>
      <c r="AF40" s="1" t="str">
        <f t="shared" si="0"/>
        <v>Returned</v>
      </c>
      <c r="AG40" s="1">
        <v>1</v>
      </c>
      <c r="AH40" t="str">
        <f t="shared" si="11"/>
        <v>Success</v>
      </c>
      <c r="AI40">
        <f t="shared" si="12"/>
        <v>2</v>
      </c>
      <c r="AJ40" t="str">
        <f t="shared" si="13"/>
        <v>Low</v>
      </c>
    </row>
    <row r="41" spans="1:36" ht="22.15" customHeight="1" x14ac:dyDescent="0.2">
      <c r="A41" s="1" t="s">
        <v>102</v>
      </c>
      <c r="B41" s="1">
        <v>8</v>
      </c>
      <c r="C41" s="1" t="str">
        <f t="shared" si="1"/>
        <v>PASS</v>
      </c>
      <c r="D41" s="1">
        <v>3</v>
      </c>
      <c r="E41" s="1" t="str">
        <f t="shared" si="2"/>
        <v>NOT-SATISFIED</v>
      </c>
      <c r="F41" s="1">
        <f t="shared" si="3"/>
        <v>42.5</v>
      </c>
      <c r="G41" s="1" t="str">
        <f t="shared" si="4"/>
        <v>POOR</v>
      </c>
      <c r="H41" s="1">
        <v>3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2</v>
      </c>
      <c r="O41" s="1">
        <v>3</v>
      </c>
      <c r="P41" s="1">
        <v>3</v>
      </c>
      <c r="Q41" s="1">
        <v>4</v>
      </c>
      <c r="R41" s="1">
        <v>3</v>
      </c>
      <c r="S41" s="1" t="str">
        <f t="shared" si="5"/>
        <v>LOW</v>
      </c>
      <c r="T41" s="3">
        <v>46219.602083333331</v>
      </c>
      <c r="U41" s="3">
        <v>46219.606944444437</v>
      </c>
      <c r="V41" s="1">
        <f t="shared" si="6"/>
        <v>7</v>
      </c>
      <c r="W41" s="1" t="str">
        <f t="shared" si="7"/>
        <v>SATISFACTORY</v>
      </c>
      <c r="X41" s="1">
        <f t="shared" si="8"/>
        <v>66.666666666666657</v>
      </c>
      <c r="Y41" s="1">
        <v>3</v>
      </c>
      <c r="Z41" s="1">
        <v>2</v>
      </c>
      <c r="AA41" s="1">
        <v>5</v>
      </c>
      <c r="AB41" s="1" t="str">
        <f t="shared" si="9"/>
        <v>LOW</v>
      </c>
      <c r="AC41" s="1">
        <v>1</v>
      </c>
      <c r="AD41" s="1" t="str">
        <f t="shared" si="10"/>
        <v>Adopted</v>
      </c>
      <c r="AE41" s="1">
        <v>1</v>
      </c>
      <c r="AF41" s="1" t="str">
        <f t="shared" si="0"/>
        <v>Returned</v>
      </c>
      <c r="AG41" s="1">
        <v>1</v>
      </c>
      <c r="AH41" t="str">
        <f t="shared" si="11"/>
        <v>Success</v>
      </c>
      <c r="AI41">
        <f t="shared" si="12"/>
        <v>3</v>
      </c>
      <c r="AJ41" t="str">
        <f t="shared" si="13"/>
        <v>Low</v>
      </c>
    </row>
    <row r="42" spans="1:36" ht="22.15" customHeight="1" x14ac:dyDescent="0.2">
      <c r="A42" s="1" t="s">
        <v>103</v>
      </c>
      <c r="B42" s="1">
        <v>1</v>
      </c>
      <c r="C42" s="1" t="str">
        <f t="shared" si="1"/>
        <v>DECTATOR</v>
      </c>
      <c r="D42" s="1">
        <v>1</v>
      </c>
      <c r="E42" s="1" t="str">
        <f t="shared" si="2"/>
        <v>NOT-SATISFIED</v>
      </c>
      <c r="F42" s="1">
        <f t="shared" si="3"/>
        <v>50</v>
      </c>
      <c r="G42" s="1" t="str">
        <f t="shared" si="4"/>
        <v>POOR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7</v>
      </c>
      <c r="S42" s="1" t="str">
        <f t="shared" si="5"/>
        <v>HIGH</v>
      </c>
      <c r="T42" s="3">
        <v>46218.476388888892</v>
      </c>
      <c r="U42" s="3">
        <v>46218.486805555563</v>
      </c>
      <c r="V42" s="1">
        <f t="shared" si="6"/>
        <v>15</v>
      </c>
      <c r="W42" s="1" t="str">
        <f t="shared" si="7"/>
        <v>BAD</v>
      </c>
      <c r="X42" s="1">
        <f t="shared" si="8"/>
        <v>75</v>
      </c>
      <c r="Y42" s="1">
        <v>8</v>
      </c>
      <c r="Z42" s="1">
        <v>6</v>
      </c>
      <c r="AA42" s="1">
        <v>1</v>
      </c>
      <c r="AB42" s="1" t="str">
        <f t="shared" si="9"/>
        <v>LOW</v>
      </c>
      <c r="AC42" s="1">
        <v>1</v>
      </c>
      <c r="AD42" s="1" t="str">
        <f t="shared" si="10"/>
        <v>Adopted</v>
      </c>
      <c r="AE42" s="1">
        <v>0</v>
      </c>
      <c r="AF42" s="1" t="str">
        <f t="shared" si="0"/>
        <v>Not Returned</v>
      </c>
      <c r="AG42" s="1">
        <v>0</v>
      </c>
      <c r="AH42" t="str">
        <f t="shared" si="11"/>
        <v>Fail</v>
      </c>
      <c r="AI42">
        <f t="shared" si="12"/>
        <v>9</v>
      </c>
      <c r="AJ42" t="str">
        <f t="shared" si="13"/>
        <v>High</v>
      </c>
    </row>
    <row r="43" spans="1:36" ht="22.15" customHeight="1" x14ac:dyDescent="0.2">
      <c r="A43" s="1" t="s">
        <v>104</v>
      </c>
      <c r="B43" s="1">
        <v>5</v>
      </c>
      <c r="C43" s="1" t="str">
        <f t="shared" si="1"/>
        <v>DECTATOR</v>
      </c>
      <c r="D43" s="1">
        <v>3</v>
      </c>
      <c r="E43" s="1" t="str">
        <f t="shared" si="2"/>
        <v>NOT-SATISFIED</v>
      </c>
      <c r="F43" s="1">
        <f t="shared" si="3"/>
        <v>45</v>
      </c>
      <c r="G43" s="1" t="str">
        <f t="shared" si="4"/>
        <v>POOR</v>
      </c>
      <c r="H43" s="1">
        <v>3</v>
      </c>
      <c r="I43" s="1">
        <v>3</v>
      </c>
      <c r="J43" s="1">
        <v>3</v>
      </c>
      <c r="K43" s="1">
        <v>2</v>
      </c>
      <c r="L43" s="1">
        <v>2</v>
      </c>
      <c r="M43" s="1">
        <v>4</v>
      </c>
      <c r="N43" s="1">
        <v>2</v>
      </c>
      <c r="O43" s="1">
        <v>4</v>
      </c>
      <c r="P43" s="1">
        <v>3</v>
      </c>
      <c r="Q43" s="1">
        <v>2</v>
      </c>
      <c r="R43" s="1">
        <v>3</v>
      </c>
      <c r="S43" s="1" t="str">
        <f t="shared" si="5"/>
        <v>LOW</v>
      </c>
      <c r="T43" s="3">
        <v>46210.445833333331</v>
      </c>
      <c r="U43" s="3">
        <v>46210.455555555563</v>
      </c>
      <c r="V43" s="1">
        <f t="shared" si="6"/>
        <v>14</v>
      </c>
      <c r="W43" s="1" t="str">
        <f t="shared" si="7"/>
        <v>BAD</v>
      </c>
      <c r="X43" s="1">
        <f t="shared" si="8"/>
        <v>0</v>
      </c>
      <c r="Y43" s="1">
        <v>2</v>
      </c>
      <c r="Z43" s="1">
        <v>0</v>
      </c>
      <c r="AA43" s="1">
        <v>6</v>
      </c>
      <c r="AB43" s="1" t="str">
        <f t="shared" si="9"/>
        <v>LOW</v>
      </c>
      <c r="AC43" s="1">
        <v>1</v>
      </c>
      <c r="AD43" s="1" t="str">
        <f t="shared" si="10"/>
        <v>Adopted</v>
      </c>
      <c r="AE43" s="1">
        <v>1</v>
      </c>
      <c r="AF43" s="1" t="str">
        <f t="shared" si="0"/>
        <v>Returned</v>
      </c>
      <c r="AG43" s="1">
        <v>1</v>
      </c>
      <c r="AH43" t="str">
        <f t="shared" si="11"/>
        <v>Success</v>
      </c>
      <c r="AI43">
        <f t="shared" si="12"/>
        <v>3</v>
      </c>
      <c r="AJ43" t="str">
        <f t="shared" si="13"/>
        <v>Low</v>
      </c>
    </row>
    <row r="44" spans="1:36" ht="22.15" customHeight="1" x14ac:dyDescent="0.2">
      <c r="A44" s="1" t="s">
        <v>105</v>
      </c>
      <c r="B44" s="1">
        <v>6</v>
      </c>
      <c r="C44" s="1" t="str">
        <f t="shared" si="1"/>
        <v>DECTATOR</v>
      </c>
      <c r="D44" s="1">
        <v>3</v>
      </c>
      <c r="E44" s="1" t="str">
        <f t="shared" si="2"/>
        <v>NOT-SATISFIED</v>
      </c>
      <c r="F44" s="1">
        <f t="shared" si="3"/>
        <v>50</v>
      </c>
      <c r="G44" s="1" t="str">
        <f t="shared" si="4"/>
        <v>POOR</v>
      </c>
      <c r="H44" s="1">
        <v>2</v>
      </c>
      <c r="I44" s="1">
        <v>2</v>
      </c>
      <c r="J44" s="1">
        <v>2</v>
      </c>
      <c r="K44" s="1">
        <v>2</v>
      </c>
      <c r="L44" s="1">
        <v>2</v>
      </c>
      <c r="M44" s="1">
        <v>2</v>
      </c>
      <c r="N44" s="1">
        <v>2</v>
      </c>
      <c r="O44" s="1">
        <v>3</v>
      </c>
      <c r="P44" s="1">
        <v>3</v>
      </c>
      <c r="Q44" s="1">
        <v>2</v>
      </c>
      <c r="R44" s="1">
        <v>4</v>
      </c>
      <c r="S44" s="1" t="str">
        <f t="shared" si="5"/>
        <v>MODERATE</v>
      </c>
      <c r="T44" s="3">
        <v>46209.441666666673</v>
      </c>
      <c r="U44" s="3">
        <v>46209.45</v>
      </c>
      <c r="V44" s="1">
        <f t="shared" si="6"/>
        <v>12</v>
      </c>
      <c r="W44" s="1" t="str">
        <f t="shared" si="7"/>
        <v>BAD</v>
      </c>
      <c r="X44" s="1">
        <f t="shared" si="8"/>
        <v>20</v>
      </c>
      <c r="Y44" s="1">
        <v>5</v>
      </c>
      <c r="Z44" s="1">
        <v>1</v>
      </c>
      <c r="AA44" s="1">
        <v>2</v>
      </c>
      <c r="AB44" s="1" t="str">
        <f t="shared" si="9"/>
        <v>LOW</v>
      </c>
      <c r="AC44" s="1">
        <v>1</v>
      </c>
      <c r="AD44" s="1" t="str">
        <f t="shared" si="10"/>
        <v>Adopted</v>
      </c>
      <c r="AE44" s="1">
        <v>1</v>
      </c>
      <c r="AF44" s="1" t="str">
        <f t="shared" si="0"/>
        <v>Returned</v>
      </c>
      <c r="AG44" s="1">
        <v>0</v>
      </c>
      <c r="AH44" t="str">
        <f t="shared" si="11"/>
        <v>Fail</v>
      </c>
      <c r="AI44">
        <f t="shared" si="12"/>
        <v>5</v>
      </c>
      <c r="AJ44" t="str">
        <f t="shared" si="13"/>
        <v>Medium</v>
      </c>
    </row>
    <row r="45" spans="1:36" ht="22.15" customHeight="1" x14ac:dyDescent="0.2">
      <c r="A45" s="1" t="s">
        <v>106</v>
      </c>
      <c r="B45" s="1">
        <v>5</v>
      </c>
      <c r="C45" s="1" t="str">
        <f t="shared" si="1"/>
        <v>DECTATOR</v>
      </c>
      <c r="D45" s="1">
        <v>3</v>
      </c>
      <c r="E45" s="1" t="str">
        <f t="shared" si="2"/>
        <v>NOT-SATISFIED</v>
      </c>
      <c r="F45" s="1">
        <f t="shared" si="3"/>
        <v>55</v>
      </c>
      <c r="G45" s="1" t="str">
        <f t="shared" si="4"/>
        <v>NEED IMPROVEMENT</v>
      </c>
      <c r="H45" s="1">
        <v>4</v>
      </c>
      <c r="I45" s="1">
        <v>4</v>
      </c>
      <c r="J45" s="1">
        <v>3</v>
      </c>
      <c r="K45" s="1">
        <v>3</v>
      </c>
      <c r="L45" s="1">
        <v>4</v>
      </c>
      <c r="M45" s="1">
        <v>3</v>
      </c>
      <c r="N45" s="1">
        <v>3</v>
      </c>
      <c r="O45" s="1">
        <v>3</v>
      </c>
      <c r="P45" s="1">
        <v>4</v>
      </c>
      <c r="Q45" s="1">
        <v>3</v>
      </c>
      <c r="R45" s="1">
        <v>4</v>
      </c>
      <c r="S45" s="1" t="str">
        <f t="shared" si="5"/>
        <v>MODERATE</v>
      </c>
      <c r="T45" s="3">
        <v>46225.775694444441</v>
      </c>
      <c r="U45" s="3">
        <v>46225.782638888893</v>
      </c>
      <c r="V45" s="1">
        <f t="shared" si="6"/>
        <v>10</v>
      </c>
      <c r="W45" s="1" t="str">
        <f t="shared" si="7"/>
        <v>SATISFACTORY</v>
      </c>
      <c r="X45" s="1">
        <f t="shared" si="8"/>
        <v>50</v>
      </c>
      <c r="Y45" s="1">
        <v>2</v>
      </c>
      <c r="Z45" s="1">
        <v>1</v>
      </c>
      <c r="AA45" s="1">
        <v>7</v>
      </c>
      <c r="AB45" s="1" t="str">
        <f t="shared" si="9"/>
        <v>MEDIUM</v>
      </c>
      <c r="AC45" s="1">
        <v>1</v>
      </c>
      <c r="AD45" s="1" t="str">
        <f t="shared" si="10"/>
        <v>Adopted</v>
      </c>
      <c r="AE45" s="1">
        <v>1</v>
      </c>
      <c r="AF45" s="1" t="str">
        <f t="shared" si="0"/>
        <v>Returned</v>
      </c>
      <c r="AG45" s="1">
        <v>1</v>
      </c>
      <c r="AH45" t="str">
        <f t="shared" si="11"/>
        <v>Success</v>
      </c>
      <c r="AI45">
        <f t="shared" si="12"/>
        <v>4</v>
      </c>
      <c r="AJ45" t="str">
        <f t="shared" si="13"/>
        <v>Medium</v>
      </c>
    </row>
    <row r="46" spans="1:36" ht="22.15" customHeight="1" x14ac:dyDescent="0.2">
      <c r="A46" s="1" t="s">
        <v>107</v>
      </c>
      <c r="B46" s="1">
        <v>8</v>
      </c>
      <c r="C46" s="1" t="str">
        <f t="shared" si="1"/>
        <v>PASS</v>
      </c>
      <c r="D46" s="1">
        <v>4</v>
      </c>
      <c r="E46" s="1" t="str">
        <f t="shared" si="2"/>
        <v>SATISFIED</v>
      </c>
      <c r="F46" s="1">
        <f t="shared" si="3"/>
        <v>57.5</v>
      </c>
      <c r="G46" s="1" t="str">
        <f t="shared" si="4"/>
        <v>NEED IMPROVEMENT</v>
      </c>
      <c r="H46" s="1">
        <v>4</v>
      </c>
      <c r="I46" s="1">
        <v>3</v>
      </c>
      <c r="J46" s="1">
        <v>4</v>
      </c>
      <c r="K46" s="1">
        <v>4</v>
      </c>
      <c r="L46" s="1">
        <v>3</v>
      </c>
      <c r="M46" s="1">
        <v>3</v>
      </c>
      <c r="N46" s="1">
        <v>4</v>
      </c>
      <c r="O46" s="1">
        <v>2</v>
      </c>
      <c r="P46" s="1">
        <v>4</v>
      </c>
      <c r="Q46" s="1">
        <v>4</v>
      </c>
      <c r="R46" s="1">
        <v>4</v>
      </c>
      <c r="S46" s="1" t="str">
        <f t="shared" si="5"/>
        <v>MODERATE</v>
      </c>
      <c r="T46" s="3">
        <v>46205.584027777782</v>
      </c>
      <c r="U46" s="3">
        <v>46205.588888888888</v>
      </c>
      <c r="V46" s="1">
        <f t="shared" si="6"/>
        <v>7</v>
      </c>
      <c r="W46" s="1" t="str">
        <f t="shared" si="7"/>
        <v>SATISFACTORY</v>
      </c>
      <c r="X46" s="1">
        <f t="shared" si="8"/>
        <v>0</v>
      </c>
      <c r="Y46" s="1">
        <v>5</v>
      </c>
      <c r="Z46" s="1">
        <v>0</v>
      </c>
      <c r="AA46" s="1">
        <v>1</v>
      </c>
      <c r="AB46" s="1" t="str">
        <f t="shared" si="9"/>
        <v>LOW</v>
      </c>
      <c r="AC46" s="1">
        <v>1</v>
      </c>
      <c r="AD46" s="1" t="str">
        <f t="shared" si="10"/>
        <v>Adopted</v>
      </c>
      <c r="AE46" s="1">
        <v>0</v>
      </c>
      <c r="AF46" s="1" t="str">
        <f t="shared" si="0"/>
        <v>Not Returned</v>
      </c>
      <c r="AG46" s="1">
        <v>1</v>
      </c>
      <c r="AH46" t="str">
        <f t="shared" si="11"/>
        <v>Success</v>
      </c>
      <c r="AI46">
        <f t="shared" si="12"/>
        <v>3</v>
      </c>
      <c r="AJ46" t="str">
        <f t="shared" si="13"/>
        <v>Low</v>
      </c>
    </row>
    <row r="47" spans="1:36" ht="22.15" customHeight="1" x14ac:dyDescent="0.2">
      <c r="A47" s="1" t="s">
        <v>108</v>
      </c>
      <c r="B47" s="1">
        <v>9</v>
      </c>
      <c r="C47" s="1" t="str">
        <f t="shared" si="1"/>
        <v>PROM</v>
      </c>
      <c r="D47" s="1">
        <v>4</v>
      </c>
      <c r="E47" s="1" t="str">
        <f t="shared" si="2"/>
        <v>SATISFIED</v>
      </c>
      <c r="F47" s="1">
        <f t="shared" si="3"/>
        <v>50</v>
      </c>
      <c r="G47" s="1" t="str">
        <f t="shared" si="4"/>
        <v>POOR</v>
      </c>
      <c r="H47" s="1">
        <v>4</v>
      </c>
      <c r="I47" s="1">
        <v>4</v>
      </c>
      <c r="J47" s="1">
        <v>4</v>
      </c>
      <c r="K47" s="1">
        <v>5</v>
      </c>
      <c r="L47" s="1">
        <v>5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2</v>
      </c>
      <c r="S47" s="1" t="str">
        <f t="shared" si="5"/>
        <v>LOW</v>
      </c>
      <c r="T47" s="3">
        <v>46210.556944444441</v>
      </c>
      <c r="U47" s="3">
        <v>46210.558333333327</v>
      </c>
      <c r="V47" s="1">
        <f t="shared" si="6"/>
        <v>2</v>
      </c>
      <c r="W47" s="1" t="str">
        <f t="shared" si="7"/>
        <v>GOOD</v>
      </c>
      <c r="X47" s="1">
        <f t="shared" si="8"/>
        <v>33.333333333333329</v>
      </c>
      <c r="Y47" s="1">
        <v>3</v>
      </c>
      <c r="Z47" s="1">
        <v>1</v>
      </c>
      <c r="AA47" s="1">
        <v>5</v>
      </c>
      <c r="AB47" s="1" t="str">
        <f t="shared" si="9"/>
        <v>LOW</v>
      </c>
      <c r="AC47" s="1">
        <v>1</v>
      </c>
      <c r="AD47" s="1" t="str">
        <f t="shared" si="10"/>
        <v>Adopted</v>
      </c>
      <c r="AE47" s="1">
        <v>1</v>
      </c>
      <c r="AF47" s="1" t="str">
        <f t="shared" si="0"/>
        <v>Returned</v>
      </c>
      <c r="AG47" s="1">
        <v>1</v>
      </c>
      <c r="AH47" t="str">
        <f t="shared" si="11"/>
        <v>Success</v>
      </c>
      <c r="AI47">
        <f t="shared" si="12"/>
        <v>2</v>
      </c>
      <c r="AJ47" t="str">
        <f t="shared" si="13"/>
        <v>Low</v>
      </c>
    </row>
    <row r="48" spans="1:36" ht="22.15" customHeight="1" x14ac:dyDescent="0.2">
      <c r="A48" s="1" t="s">
        <v>109</v>
      </c>
      <c r="B48" s="1">
        <v>6</v>
      </c>
      <c r="C48" s="1" t="str">
        <f t="shared" si="1"/>
        <v>DECTATOR</v>
      </c>
      <c r="D48" s="1">
        <v>4</v>
      </c>
      <c r="E48" s="1" t="str">
        <f t="shared" si="2"/>
        <v>SATISFIED</v>
      </c>
      <c r="F48" s="1">
        <f t="shared" si="3"/>
        <v>47.5</v>
      </c>
      <c r="G48" s="1" t="str">
        <f t="shared" si="4"/>
        <v>POOR</v>
      </c>
      <c r="H48" s="1">
        <v>3</v>
      </c>
      <c r="I48" s="1">
        <v>2</v>
      </c>
      <c r="J48" s="1">
        <v>2</v>
      </c>
      <c r="K48" s="1">
        <v>3</v>
      </c>
      <c r="L48" s="1">
        <v>2</v>
      </c>
      <c r="M48" s="1">
        <v>3</v>
      </c>
      <c r="N48" s="1">
        <v>2</v>
      </c>
      <c r="O48" s="1">
        <v>2</v>
      </c>
      <c r="P48" s="1">
        <v>3</v>
      </c>
      <c r="Q48" s="1">
        <v>3</v>
      </c>
      <c r="R48" s="1">
        <v>3</v>
      </c>
      <c r="S48" s="1" t="str">
        <f t="shared" si="5"/>
        <v>LOW</v>
      </c>
      <c r="T48" s="3">
        <v>46206.644444444442</v>
      </c>
      <c r="U48" s="3">
        <v>46206.648611111108</v>
      </c>
      <c r="V48" s="1">
        <f t="shared" si="6"/>
        <v>6</v>
      </c>
      <c r="W48" s="1" t="str">
        <f t="shared" si="7"/>
        <v>SATISFACTORY</v>
      </c>
      <c r="X48" s="1">
        <f t="shared" si="8"/>
        <v>33.333333333333329</v>
      </c>
      <c r="Y48" s="1">
        <v>3</v>
      </c>
      <c r="Z48" s="1">
        <v>1</v>
      </c>
      <c r="AA48" s="1">
        <v>5</v>
      </c>
      <c r="AB48" s="1" t="str">
        <f t="shared" si="9"/>
        <v>LOW</v>
      </c>
      <c r="AC48" s="1">
        <v>1</v>
      </c>
      <c r="AD48" s="1" t="str">
        <f t="shared" si="10"/>
        <v>Adopted</v>
      </c>
      <c r="AE48" s="1">
        <v>1</v>
      </c>
      <c r="AF48" s="1" t="str">
        <f t="shared" si="0"/>
        <v>Returned</v>
      </c>
      <c r="AG48" s="1">
        <v>1</v>
      </c>
      <c r="AH48" t="str">
        <f t="shared" si="11"/>
        <v>Success</v>
      </c>
      <c r="AI48">
        <f t="shared" si="12"/>
        <v>3</v>
      </c>
      <c r="AJ48" t="str">
        <f t="shared" si="13"/>
        <v>Low</v>
      </c>
    </row>
    <row r="49" spans="1:36" ht="22.15" customHeight="1" x14ac:dyDescent="0.2">
      <c r="A49" s="1" t="s">
        <v>110</v>
      </c>
      <c r="B49" s="1">
        <v>8</v>
      </c>
      <c r="C49" s="1" t="str">
        <f t="shared" si="1"/>
        <v>PASS</v>
      </c>
      <c r="D49" s="1">
        <v>4</v>
      </c>
      <c r="E49" s="1" t="str">
        <f t="shared" si="2"/>
        <v>SATISFIED</v>
      </c>
      <c r="F49" s="1">
        <f t="shared" si="3"/>
        <v>50</v>
      </c>
      <c r="G49" s="1" t="str">
        <f t="shared" si="4"/>
        <v>POOR</v>
      </c>
      <c r="H49" s="1">
        <v>3</v>
      </c>
      <c r="I49" s="1">
        <v>2</v>
      </c>
      <c r="J49" s="1">
        <v>2</v>
      </c>
      <c r="K49" s="1">
        <v>3</v>
      </c>
      <c r="L49" s="1">
        <v>3</v>
      </c>
      <c r="M49" s="1">
        <v>4</v>
      </c>
      <c r="N49" s="1">
        <v>3</v>
      </c>
      <c r="O49" s="1">
        <v>4</v>
      </c>
      <c r="P49" s="1">
        <v>4</v>
      </c>
      <c r="Q49" s="1">
        <v>2</v>
      </c>
      <c r="R49" s="1">
        <v>3</v>
      </c>
      <c r="S49" s="1" t="str">
        <f t="shared" si="5"/>
        <v>LOW</v>
      </c>
      <c r="T49" s="3">
        <v>46218.410416666673</v>
      </c>
      <c r="U49" s="3">
        <v>46218.416666666657</v>
      </c>
      <c r="V49" s="1">
        <f t="shared" si="6"/>
        <v>9</v>
      </c>
      <c r="W49" s="1" t="str">
        <f t="shared" si="7"/>
        <v>SATISFACTORY</v>
      </c>
      <c r="X49" s="1">
        <f t="shared" si="8"/>
        <v>20</v>
      </c>
      <c r="Y49" s="1">
        <v>5</v>
      </c>
      <c r="Z49" s="1">
        <v>1</v>
      </c>
      <c r="AA49" s="1">
        <v>5</v>
      </c>
      <c r="AB49" s="1" t="str">
        <f t="shared" si="9"/>
        <v>LOW</v>
      </c>
      <c r="AC49" s="1">
        <v>1</v>
      </c>
      <c r="AD49" s="1" t="str">
        <f t="shared" si="10"/>
        <v>Adopted</v>
      </c>
      <c r="AE49" s="1">
        <v>1</v>
      </c>
      <c r="AF49" s="1" t="str">
        <f t="shared" si="0"/>
        <v>Returned</v>
      </c>
      <c r="AG49" s="1">
        <v>1</v>
      </c>
      <c r="AH49" t="str">
        <f t="shared" si="11"/>
        <v>Success</v>
      </c>
      <c r="AI49">
        <f t="shared" si="12"/>
        <v>1</v>
      </c>
      <c r="AJ49" t="str">
        <f t="shared" si="13"/>
        <v>Low</v>
      </c>
    </row>
    <row r="50" spans="1:36" ht="22.15" customHeight="1" x14ac:dyDescent="0.2">
      <c r="A50" s="1" t="s">
        <v>111</v>
      </c>
      <c r="B50" s="1">
        <v>7</v>
      </c>
      <c r="C50" s="1" t="str">
        <f t="shared" si="1"/>
        <v>PASS</v>
      </c>
      <c r="D50" s="1">
        <v>3</v>
      </c>
      <c r="E50" s="1" t="str">
        <f t="shared" si="2"/>
        <v>NOT-SATISFIED</v>
      </c>
      <c r="F50" s="1">
        <f t="shared" si="3"/>
        <v>50</v>
      </c>
      <c r="G50" s="1" t="str">
        <f t="shared" si="4"/>
        <v>POOR</v>
      </c>
      <c r="H50" s="1">
        <v>2</v>
      </c>
      <c r="I50" s="1">
        <v>2</v>
      </c>
      <c r="J50" s="1">
        <v>3</v>
      </c>
      <c r="K50" s="1">
        <v>3</v>
      </c>
      <c r="L50" s="1">
        <v>4</v>
      </c>
      <c r="M50" s="1">
        <v>3</v>
      </c>
      <c r="N50" s="1">
        <v>3</v>
      </c>
      <c r="O50" s="1">
        <v>4</v>
      </c>
      <c r="P50" s="1">
        <v>2</v>
      </c>
      <c r="Q50" s="1">
        <v>2</v>
      </c>
      <c r="R50" s="1">
        <v>5</v>
      </c>
      <c r="S50" s="1" t="str">
        <f t="shared" si="5"/>
        <v>MODERATE</v>
      </c>
      <c r="T50" s="3">
        <v>46231.431250000001</v>
      </c>
      <c r="U50" s="3">
        <v>46231.441666666673</v>
      </c>
      <c r="V50" s="1">
        <f t="shared" si="6"/>
        <v>15</v>
      </c>
      <c r="W50" s="1" t="str">
        <f t="shared" si="7"/>
        <v>BAD</v>
      </c>
      <c r="X50" s="1">
        <f t="shared" si="8"/>
        <v>16.666666666666664</v>
      </c>
      <c r="Y50" s="1">
        <v>6</v>
      </c>
      <c r="Z50" s="1">
        <v>1</v>
      </c>
      <c r="AA50" s="1">
        <v>7</v>
      </c>
      <c r="AB50" s="1" t="str">
        <f t="shared" si="9"/>
        <v>MEDIUM</v>
      </c>
      <c r="AC50" s="1">
        <v>1</v>
      </c>
      <c r="AD50" s="1" t="str">
        <f t="shared" si="10"/>
        <v>Adopted</v>
      </c>
      <c r="AE50" s="1">
        <v>1</v>
      </c>
      <c r="AF50" s="1" t="str">
        <f t="shared" si="0"/>
        <v>Returned</v>
      </c>
      <c r="AG50" s="1">
        <v>1</v>
      </c>
      <c r="AH50" t="str">
        <f t="shared" si="11"/>
        <v>Success</v>
      </c>
      <c r="AI50">
        <f t="shared" si="12"/>
        <v>3</v>
      </c>
      <c r="AJ50" t="str">
        <f t="shared" si="13"/>
        <v>Low</v>
      </c>
    </row>
    <row r="51" spans="1:36" ht="22.15" customHeight="1" x14ac:dyDescent="0.2">
      <c r="A51" s="1" t="s">
        <v>112</v>
      </c>
      <c r="B51" s="1">
        <v>8</v>
      </c>
      <c r="C51" s="1" t="str">
        <f t="shared" si="1"/>
        <v>PASS</v>
      </c>
      <c r="D51" s="1">
        <v>3</v>
      </c>
      <c r="E51" s="1" t="str">
        <f t="shared" si="2"/>
        <v>NOT-SATISFIED</v>
      </c>
      <c r="F51" s="1">
        <f t="shared" si="3"/>
        <v>57.5</v>
      </c>
      <c r="G51" s="1" t="str">
        <f t="shared" si="4"/>
        <v>NEED IMPROVEMENT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3</v>
      </c>
      <c r="N51" s="1">
        <v>5</v>
      </c>
      <c r="O51" s="1">
        <v>3</v>
      </c>
      <c r="P51" s="1">
        <v>5</v>
      </c>
      <c r="Q51" s="1">
        <v>5</v>
      </c>
      <c r="R51" s="1">
        <v>5</v>
      </c>
      <c r="S51" s="1" t="str">
        <f t="shared" si="5"/>
        <v>MODERATE</v>
      </c>
      <c r="T51" s="3">
        <v>46208.387499999997</v>
      </c>
      <c r="U51" s="3">
        <v>46208.402083333327</v>
      </c>
      <c r="V51" s="1">
        <f t="shared" si="6"/>
        <v>21</v>
      </c>
      <c r="W51" s="1" t="str">
        <f t="shared" si="7"/>
        <v>BAD</v>
      </c>
      <c r="X51" s="1">
        <f t="shared" si="8"/>
        <v>25</v>
      </c>
      <c r="Y51" s="1">
        <v>4</v>
      </c>
      <c r="Z51" s="1">
        <v>1</v>
      </c>
      <c r="AA51" s="1">
        <v>6</v>
      </c>
      <c r="AB51" s="1" t="str">
        <f t="shared" si="9"/>
        <v>LOW</v>
      </c>
      <c r="AC51" s="1">
        <v>1</v>
      </c>
      <c r="AD51" s="1" t="str">
        <f t="shared" si="10"/>
        <v>Adopted</v>
      </c>
      <c r="AE51" s="1">
        <v>1</v>
      </c>
      <c r="AF51" s="1" t="str">
        <f t="shared" si="0"/>
        <v>Returned</v>
      </c>
      <c r="AG51" s="1">
        <v>1</v>
      </c>
      <c r="AH51" t="str">
        <f t="shared" si="11"/>
        <v>Success</v>
      </c>
      <c r="AI51">
        <f t="shared" si="12"/>
        <v>3</v>
      </c>
      <c r="AJ51" t="str">
        <f t="shared" si="13"/>
        <v>Low</v>
      </c>
    </row>
    <row r="52" spans="1:36" ht="22.15" customHeight="1" x14ac:dyDescent="0.2">
      <c r="A52" s="1" t="s">
        <v>113</v>
      </c>
      <c r="B52" s="1">
        <v>7</v>
      </c>
      <c r="C52" s="1" t="str">
        <f t="shared" si="1"/>
        <v>PASS</v>
      </c>
      <c r="D52" s="1">
        <v>4</v>
      </c>
      <c r="E52" s="1" t="str">
        <f t="shared" si="2"/>
        <v>SATISFIED</v>
      </c>
      <c r="F52" s="1">
        <f t="shared" si="3"/>
        <v>50</v>
      </c>
      <c r="G52" s="1" t="str">
        <f t="shared" si="4"/>
        <v>POOR</v>
      </c>
      <c r="H52" s="1">
        <v>3</v>
      </c>
      <c r="I52" s="1">
        <v>3</v>
      </c>
      <c r="J52" s="1">
        <v>2</v>
      </c>
      <c r="K52" s="1">
        <v>3</v>
      </c>
      <c r="L52" s="1">
        <v>3</v>
      </c>
      <c r="M52" s="1">
        <v>2</v>
      </c>
      <c r="N52" s="1">
        <v>2</v>
      </c>
      <c r="O52" s="1">
        <v>3</v>
      </c>
      <c r="P52" s="1">
        <v>3</v>
      </c>
      <c r="Q52" s="1">
        <v>2</v>
      </c>
      <c r="R52" s="1">
        <v>3</v>
      </c>
      <c r="S52" s="1" t="str">
        <f t="shared" si="5"/>
        <v>LOW</v>
      </c>
      <c r="T52" s="3">
        <v>46221.47152777778</v>
      </c>
      <c r="U52" s="3">
        <v>46221.482638888891</v>
      </c>
      <c r="V52" s="1">
        <f t="shared" si="6"/>
        <v>16</v>
      </c>
      <c r="W52" s="1" t="str">
        <f t="shared" si="7"/>
        <v>BAD</v>
      </c>
      <c r="X52" s="1">
        <f t="shared" si="8"/>
        <v>25</v>
      </c>
      <c r="Y52" s="1">
        <v>4</v>
      </c>
      <c r="Z52" s="1">
        <v>1</v>
      </c>
      <c r="AA52" s="1">
        <v>1</v>
      </c>
      <c r="AB52" s="1" t="str">
        <f t="shared" si="9"/>
        <v>LOW</v>
      </c>
      <c r="AC52" s="1">
        <v>0</v>
      </c>
      <c r="AD52" s="1" t="str">
        <f t="shared" si="10"/>
        <v>NOt Adopted</v>
      </c>
      <c r="AE52" s="1">
        <v>1</v>
      </c>
      <c r="AF52" s="1" t="str">
        <f t="shared" si="0"/>
        <v>Returned</v>
      </c>
      <c r="AG52" s="1">
        <v>1</v>
      </c>
      <c r="AH52" t="str">
        <f t="shared" si="11"/>
        <v>Success</v>
      </c>
      <c r="AI52">
        <f t="shared" si="12"/>
        <v>4</v>
      </c>
      <c r="AJ52" t="str">
        <f t="shared" si="13"/>
        <v>Medium</v>
      </c>
    </row>
    <row r="53" spans="1:36" ht="22.15" customHeight="1" x14ac:dyDescent="0.2">
      <c r="A53" s="1" t="s">
        <v>114</v>
      </c>
      <c r="B53" s="1">
        <v>10</v>
      </c>
      <c r="C53" s="1" t="str">
        <f t="shared" si="1"/>
        <v>PROM</v>
      </c>
      <c r="D53" s="1">
        <v>5</v>
      </c>
      <c r="E53" s="1" t="str">
        <f t="shared" si="2"/>
        <v>SATISFIED</v>
      </c>
      <c r="F53" s="1">
        <f t="shared" si="3"/>
        <v>52.5</v>
      </c>
      <c r="G53" s="1" t="str">
        <f t="shared" si="4"/>
        <v>NEED IMPROVEMENT</v>
      </c>
      <c r="H53" s="1">
        <v>4</v>
      </c>
      <c r="I53" s="1">
        <v>5</v>
      </c>
      <c r="J53" s="1">
        <v>5</v>
      </c>
      <c r="K53" s="1">
        <v>3</v>
      </c>
      <c r="L53" s="1">
        <v>5</v>
      </c>
      <c r="M53" s="1">
        <v>4</v>
      </c>
      <c r="N53" s="1">
        <v>4</v>
      </c>
      <c r="O53" s="1">
        <v>5</v>
      </c>
      <c r="P53" s="1">
        <v>5</v>
      </c>
      <c r="Q53" s="1">
        <v>5</v>
      </c>
      <c r="R53" s="1">
        <v>1</v>
      </c>
      <c r="S53" s="1" t="str">
        <f t="shared" si="5"/>
        <v>LOW</v>
      </c>
      <c r="T53" s="3">
        <v>46220.453472222223</v>
      </c>
      <c r="U53" s="3">
        <v>46220.457638888889</v>
      </c>
      <c r="V53" s="1">
        <f t="shared" si="6"/>
        <v>6</v>
      </c>
      <c r="W53" s="1" t="str">
        <f t="shared" si="7"/>
        <v>SATISFACTORY</v>
      </c>
      <c r="X53" s="1">
        <f t="shared" si="8"/>
        <v>0</v>
      </c>
      <c r="Y53" s="1">
        <v>1</v>
      </c>
      <c r="Z53" s="1">
        <v>0</v>
      </c>
      <c r="AA53" s="1">
        <v>12</v>
      </c>
      <c r="AB53" s="1" t="str">
        <f t="shared" si="9"/>
        <v>HIGH</v>
      </c>
      <c r="AC53" s="1">
        <v>1</v>
      </c>
      <c r="AD53" s="1" t="str">
        <f t="shared" si="10"/>
        <v>Adopted</v>
      </c>
      <c r="AE53" s="1">
        <v>1</v>
      </c>
      <c r="AF53" s="1" t="str">
        <f t="shared" si="0"/>
        <v>Returned</v>
      </c>
      <c r="AG53" s="1">
        <v>1</v>
      </c>
      <c r="AH53" t="str">
        <f t="shared" si="11"/>
        <v>Success</v>
      </c>
      <c r="AI53">
        <f t="shared" si="12"/>
        <v>1</v>
      </c>
      <c r="AJ53" t="str">
        <f t="shared" si="13"/>
        <v>Low</v>
      </c>
    </row>
    <row r="54" spans="1:36" ht="22.15" customHeight="1" x14ac:dyDescent="0.2">
      <c r="A54" s="1" t="s">
        <v>115</v>
      </c>
      <c r="B54" s="1">
        <v>10</v>
      </c>
      <c r="C54" s="1" t="str">
        <f t="shared" si="1"/>
        <v>PROM</v>
      </c>
      <c r="D54" s="1">
        <v>5</v>
      </c>
      <c r="E54" s="1" t="str">
        <f t="shared" si="2"/>
        <v>SATISFIED</v>
      </c>
      <c r="F54" s="1">
        <f t="shared" si="3"/>
        <v>57.5</v>
      </c>
      <c r="G54" s="1" t="str">
        <f t="shared" si="4"/>
        <v>NEED IMPROVEMENT</v>
      </c>
      <c r="H54" s="1">
        <v>4</v>
      </c>
      <c r="I54" s="1">
        <v>4</v>
      </c>
      <c r="J54" s="1">
        <v>5</v>
      </c>
      <c r="K54" s="1">
        <v>3</v>
      </c>
      <c r="L54" s="1">
        <v>3</v>
      </c>
      <c r="M54" s="1">
        <v>3</v>
      </c>
      <c r="N54" s="1">
        <v>4</v>
      </c>
      <c r="O54" s="1">
        <v>4</v>
      </c>
      <c r="P54" s="1">
        <v>4</v>
      </c>
      <c r="Q54" s="1">
        <v>3</v>
      </c>
      <c r="R54" s="1">
        <v>5</v>
      </c>
      <c r="S54" s="1" t="str">
        <f t="shared" si="5"/>
        <v>MODERATE</v>
      </c>
      <c r="T54" s="3">
        <v>46208.644444444442</v>
      </c>
      <c r="U54" s="3">
        <v>46208.645833333343</v>
      </c>
      <c r="V54" s="1">
        <f t="shared" si="6"/>
        <v>2</v>
      </c>
      <c r="W54" s="1" t="str">
        <f t="shared" si="7"/>
        <v>GOOD</v>
      </c>
      <c r="X54" s="1">
        <f t="shared" si="8"/>
        <v>50</v>
      </c>
      <c r="Y54" s="1">
        <v>2</v>
      </c>
      <c r="Z54" s="1">
        <v>1</v>
      </c>
      <c r="AA54" s="1">
        <v>11</v>
      </c>
      <c r="AB54" s="1" t="str">
        <f t="shared" si="9"/>
        <v>HIGH</v>
      </c>
      <c r="AC54" s="1">
        <v>1</v>
      </c>
      <c r="AD54" s="1" t="str">
        <f t="shared" si="10"/>
        <v>Adopted</v>
      </c>
      <c r="AE54" s="1">
        <v>1</v>
      </c>
      <c r="AF54" s="1" t="str">
        <f t="shared" si="0"/>
        <v>Returned</v>
      </c>
      <c r="AG54" s="1">
        <v>1</v>
      </c>
      <c r="AH54" t="str">
        <f t="shared" si="11"/>
        <v>Success</v>
      </c>
      <c r="AI54">
        <f t="shared" si="12"/>
        <v>2</v>
      </c>
      <c r="AJ54" t="str">
        <f t="shared" si="13"/>
        <v>Low</v>
      </c>
    </row>
    <row r="55" spans="1:36" ht="22.15" customHeight="1" x14ac:dyDescent="0.2">
      <c r="A55" s="1" t="s">
        <v>116</v>
      </c>
      <c r="B55" s="1">
        <v>10</v>
      </c>
      <c r="C55" s="1" t="str">
        <f t="shared" si="1"/>
        <v>PROM</v>
      </c>
      <c r="D55" s="1">
        <v>5</v>
      </c>
      <c r="E55" s="1" t="str">
        <f t="shared" si="2"/>
        <v>SATISFIED</v>
      </c>
      <c r="F55" s="1">
        <f t="shared" si="3"/>
        <v>47.5</v>
      </c>
      <c r="G55" s="1" t="str">
        <f t="shared" si="4"/>
        <v>POOR</v>
      </c>
      <c r="H55" s="1">
        <v>5</v>
      </c>
      <c r="I55" s="1">
        <v>4</v>
      </c>
      <c r="J55" s="1">
        <v>4</v>
      </c>
      <c r="K55" s="1">
        <v>5</v>
      </c>
      <c r="L55" s="1">
        <v>4</v>
      </c>
      <c r="M55" s="1">
        <v>4</v>
      </c>
      <c r="N55" s="1">
        <v>4</v>
      </c>
      <c r="O55" s="1">
        <v>4</v>
      </c>
      <c r="P55" s="1">
        <v>4</v>
      </c>
      <c r="Q55" s="1">
        <v>5</v>
      </c>
      <c r="R55" s="1">
        <v>2</v>
      </c>
      <c r="S55" s="1" t="str">
        <f t="shared" si="5"/>
        <v>LOW</v>
      </c>
      <c r="T55" s="3">
        <v>46215.48333333333</v>
      </c>
      <c r="U55" s="3">
        <v>46215.48541666667</v>
      </c>
      <c r="V55" s="1">
        <f t="shared" si="6"/>
        <v>3</v>
      </c>
      <c r="W55" s="1" t="str">
        <f t="shared" si="7"/>
        <v>GOOD</v>
      </c>
      <c r="X55" s="1">
        <f t="shared" si="8"/>
        <v>100</v>
      </c>
      <c r="Y55" s="1">
        <v>1</v>
      </c>
      <c r="Z55" s="1">
        <v>1</v>
      </c>
      <c r="AA55" s="1">
        <v>12</v>
      </c>
      <c r="AB55" s="1" t="str">
        <f t="shared" si="9"/>
        <v>HIGH</v>
      </c>
      <c r="AC55" s="1">
        <v>1</v>
      </c>
      <c r="AD55" s="1" t="str">
        <f t="shared" si="10"/>
        <v>Adopted</v>
      </c>
      <c r="AE55" s="1">
        <v>1</v>
      </c>
      <c r="AF55" s="1" t="str">
        <f t="shared" si="0"/>
        <v>Returned</v>
      </c>
      <c r="AG55" s="1">
        <v>1</v>
      </c>
      <c r="AH55" t="str">
        <f t="shared" si="11"/>
        <v>Success</v>
      </c>
      <c r="AI55">
        <f t="shared" si="12"/>
        <v>2</v>
      </c>
      <c r="AJ55" t="str">
        <f t="shared" si="13"/>
        <v>Low</v>
      </c>
    </row>
    <row r="56" spans="1:36" ht="22.15" customHeight="1" x14ac:dyDescent="0.2">
      <c r="A56" s="1" t="s">
        <v>117</v>
      </c>
      <c r="B56" s="1">
        <v>2</v>
      </c>
      <c r="C56" s="1" t="str">
        <f t="shared" si="1"/>
        <v>DECTATOR</v>
      </c>
      <c r="D56" s="1">
        <v>1</v>
      </c>
      <c r="E56" s="1" t="str">
        <f t="shared" si="2"/>
        <v>NOT-SATISFIED</v>
      </c>
      <c r="F56" s="1">
        <f t="shared" si="3"/>
        <v>52.5</v>
      </c>
      <c r="G56" s="1" t="str">
        <f t="shared" si="4"/>
        <v>NEED IMPROVEMENT</v>
      </c>
      <c r="H56" s="1">
        <v>1</v>
      </c>
      <c r="I56" s="1">
        <v>1</v>
      </c>
      <c r="J56" s="1">
        <v>2</v>
      </c>
      <c r="K56" s="1">
        <v>1</v>
      </c>
      <c r="L56" s="1">
        <v>2</v>
      </c>
      <c r="M56" s="1">
        <v>1</v>
      </c>
      <c r="N56" s="1">
        <v>1</v>
      </c>
      <c r="O56" s="1">
        <v>2</v>
      </c>
      <c r="P56" s="1">
        <v>1</v>
      </c>
      <c r="Q56" s="1">
        <v>1</v>
      </c>
      <c r="R56" s="1">
        <v>6</v>
      </c>
      <c r="S56" s="1" t="str">
        <f t="shared" si="5"/>
        <v>HIGH</v>
      </c>
      <c r="T56" s="3">
        <v>46227.547222222223</v>
      </c>
      <c r="U56" s="3">
        <v>46227.5625</v>
      </c>
      <c r="V56" s="1">
        <f t="shared" si="6"/>
        <v>22</v>
      </c>
      <c r="W56" s="1" t="str">
        <f t="shared" si="7"/>
        <v>BAD</v>
      </c>
      <c r="X56" s="1">
        <f t="shared" si="8"/>
        <v>14.285714285714285</v>
      </c>
      <c r="Y56" s="1">
        <v>7</v>
      </c>
      <c r="Z56" s="1">
        <v>1</v>
      </c>
      <c r="AA56" s="1">
        <v>4</v>
      </c>
      <c r="AB56" s="1" t="str">
        <f t="shared" si="9"/>
        <v>LOW</v>
      </c>
      <c r="AC56" s="1">
        <v>1</v>
      </c>
      <c r="AD56" s="1" t="str">
        <f t="shared" si="10"/>
        <v>Adopted</v>
      </c>
      <c r="AE56" s="1">
        <v>1</v>
      </c>
      <c r="AF56" s="1" t="str">
        <f t="shared" si="0"/>
        <v>Returned</v>
      </c>
      <c r="AG56" s="1">
        <v>1</v>
      </c>
      <c r="AH56" t="str">
        <f t="shared" si="11"/>
        <v>Success</v>
      </c>
      <c r="AI56">
        <f t="shared" si="12"/>
        <v>6</v>
      </c>
      <c r="AJ56" t="str">
        <f t="shared" si="13"/>
        <v>High</v>
      </c>
    </row>
    <row r="57" spans="1:36" ht="22.15" customHeight="1" x14ac:dyDescent="0.2">
      <c r="A57" s="1" t="s">
        <v>118</v>
      </c>
      <c r="B57" s="1">
        <v>9</v>
      </c>
      <c r="C57" s="1" t="str">
        <f t="shared" si="1"/>
        <v>PROM</v>
      </c>
      <c r="D57" s="1">
        <v>4</v>
      </c>
      <c r="E57" s="1" t="str">
        <f t="shared" si="2"/>
        <v>SATISFIED</v>
      </c>
      <c r="F57" s="1">
        <f t="shared" si="3"/>
        <v>45</v>
      </c>
      <c r="G57" s="1" t="str">
        <f t="shared" si="4"/>
        <v>POOR</v>
      </c>
      <c r="H57" s="1">
        <v>3</v>
      </c>
      <c r="I57" s="1">
        <v>4</v>
      </c>
      <c r="J57" s="1">
        <v>4</v>
      </c>
      <c r="K57" s="1">
        <v>4</v>
      </c>
      <c r="L57" s="1">
        <v>5</v>
      </c>
      <c r="M57" s="1">
        <v>4</v>
      </c>
      <c r="N57" s="1">
        <v>4</v>
      </c>
      <c r="O57" s="1">
        <v>4</v>
      </c>
      <c r="P57" s="1">
        <v>2</v>
      </c>
      <c r="Q57" s="1">
        <v>4</v>
      </c>
      <c r="R57" s="1">
        <v>4</v>
      </c>
      <c r="S57" s="1" t="str">
        <f t="shared" si="5"/>
        <v>MODERATE</v>
      </c>
      <c r="T57" s="3">
        <v>46215.62222222222</v>
      </c>
      <c r="U57" s="3">
        <v>46215.62777777778</v>
      </c>
      <c r="V57" s="1">
        <f t="shared" si="6"/>
        <v>8</v>
      </c>
      <c r="W57" s="1" t="str">
        <f t="shared" si="7"/>
        <v>SATISFACTORY</v>
      </c>
      <c r="X57" s="1">
        <f t="shared" si="8"/>
        <v>33.333333333333329</v>
      </c>
      <c r="Y57" s="1">
        <v>3</v>
      </c>
      <c r="Z57" s="1">
        <v>1</v>
      </c>
      <c r="AA57" s="1">
        <v>9</v>
      </c>
      <c r="AB57" s="1" t="str">
        <f t="shared" si="9"/>
        <v>MEDIUM</v>
      </c>
      <c r="AC57" s="1">
        <v>1</v>
      </c>
      <c r="AD57" s="1" t="str">
        <f t="shared" si="10"/>
        <v>Adopted</v>
      </c>
      <c r="AE57" s="1">
        <v>1</v>
      </c>
      <c r="AF57" s="1" t="str">
        <f t="shared" si="0"/>
        <v>Returned</v>
      </c>
      <c r="AG57" s="1">
        <v>1</v>
      </c>
      <c r="AH57" t="str">
        <f t="shared" si="11"/>
        <v>Success</v>
      </c>
      <c r="AI57">
        <f t="shared" si="12"/>
        <v>2</v>
      </c>
      <c r="AJ57" t="str">
        <f t="shared" si="13"/>
        <v>Low</v>
      </c>
    </row>
    <row r="58" spans="1:36" ht="22.15" customHeight="1" x14ac:dyDescent="0.2">
      <c r="A58" s="1" t="s">
        <v>119</v>
      </c>
      <c r="B58" s="1">
        <v>8</v>
      </c>
      <c r="C58" s="1" t="str">
        <f t="shared" si="1"/>
        <v>PASS</v>
      </c>
      <c r="D58" s="1">
        <v>3</v>
      </c>
      <c r="E58" s="1" t="str">
        <f t="shared" si="2"/>
        <v>NOT-SATISFIED</v>
      </c>
      <c r="F58" s="1">
        <f t="shared" si="3"/>
        <v>45</v>
      </c>
      <c r="G58" s="1" t="str">
        <f t="shared" si="4"/>
        <v>POOR</v>
      </c>
      <c r="H58" s="1">
        <v>4</v>
      </c>
      <c r="I58" s="1">
        <v>3</v>
      </c>
      <c r="J58" s="1">
        <v>3</v>
      </c>
      <c r="K58" s="1">
        <v>3</v>
      </c>
      <c r="L58" s="1">
        <v>3</v>
      </c>
      <c r="M58" s="1">
        <v>4</v>
      </c>
      <c r="N58" s="1">
        <v>2</v>
      </c>
      <c r="O58" s="1">
        <v>4</v>
      </c>
      <c r="P58" s="1">
        <v>4</v>
      </c>
      <c r="Q58" s="1">
        <v>4</v>
      </c>
      <c r="R58" s="1">
        <v>4</v>
      </c>
      <c r="S58" s="1" t="str">
        <f t="shared" si="5"/>
        <v>MODERATE</v>
      </c>
      <c r="T58" s="3">
        <v>46218.365277777782</v>
      </c>
      <c r="U58" s="3">
        <v>46218.372916666667</v>
      </c>
      <c r="V58" s="1">
        <f t="shared" si="6"/>
        <v>11</v>
      </c>
      <c r="W58" s="1" t="str">
        <f t="shared" si="7"/>
        <v>BAD</v>
      </c>
      <c r="X58" s="1">
        <f t="shared" si="8"/>
        <v>0</v>
      </c>
      <c r="Y58" s="1">
        <v>4</v>
      </c>
      <c r="Z58" s="1">
        <v>0</v>
      </c>
      <c r="AA58" s="1">
        <v>9</v>
      </c>
      <c r="AB58" s="1" t="str">
        <f t="shared" si="9"/>
        <v>MEDIUM</v>
      </c>
      <c r="AC58" s="1">
        <v>1</v>
      </c>
      <c r="AD58" s="1" t="str">
        <f t="shared" si="10"/>
        <v>Adopted</v>
      </c>
      <c r="AE58" s="1">
        <v>0</v>
      </c>
      <c r="AF58" s="1" t="str">
        <f t="shared" si="0"/>
        <v>Not Returned</v>
      </c>
      <c r="AG58" s="1">
        <v>1</v>
      </c>
      <c r="AH58" t="str">
        <f t="shared" si="11"/>
        <v>Success</v>
      </c>
      <c r="AI58">
        <f t="shared" si="12"/>
        <v>3</v>
      </c>
      <c r="AJ58" t="str">
        <f t="shared" si="13"/>
        <v>Low</v>
      </c>
    </row>
    <row r="59" spans="1:36" ht="22.15" customHeight="1" x14ac:dyDescent="0.2">
      <c r="A59" s="1" t="s">
        <v>120</v>
      </c>
      <c r="B59" s="1">
        <v>6</v>
      </c>
      <c r="C59" s="1" t="str">
        <f t="shared" si="1"/>
        <v>DECTATOR</v>
      </c>
      <c r="D59" s="1">
        <v>3</v>
      </c>
      <c r="E59" s="1" t="str">
        <f t="shared" si="2"/>
        <v>NOT-SATISFIED</v>
      </c>
      <c r="F59" s="1">
        <f t="shared" si="3"/>
        <v>47.5</v>
      </c>
      <c r="G59" s="1" t="str">
        <f t="shared" si="4"/>
        <v>POOR</v>
      </c>
      <c r="H59" s="1">
        <v>2</v>
      </c>
      <c r="I59" s="1">
        <v>3</v>
      </c>
      <c r="J59" s="1">
        <v>3</v>
      </c>
      <c r="K59" s="1">
        <v>3</v>
      </c>
      <c r="L59" s="1">
        <v>2</v>
      </c>
      <c r="M59" s="1">
        <v>2</v>
      </c>
      <c r="N59" s="1">
        <v>3</v>
      </c>
      <c r="O59" s="1">
        <v>2</v>
      </c>
      <c r="P59" s="1">
        <v>2</v>
      </c>
      <c r="Q59" s="1">
        <v>3</v>
      </c>
      <c r="R59" s="1">
        <v>4</v>
      </c>
      <c r="S59" s="1" t="str">
        <f t="shared" si="5"/>
        <v>MODERATE</v>
      </c>
      <c r="T59" s="3">
        <v>46228.4</v>
      </c>
      <c r="U59" s="3">
        <v>46228.407638888893</v>
      </c>
      <c r="V59" s="1">
        <f t="shared" si="6"/>
        <v>11</v>
      </c>
      <c r="W59" s="1" t="str">
        <f t="shared" si="7"/>
        <v>BAD</v>
      </c>
      <c r="X59" s="1">
        <f t="shared" si="8"/>
        <v>66.666666666666657</v>
      </c>
      <c r="Y59" s="1">
        <v>6</v>
      </c>
      <c r="Z59" s="1">
        <v>4</v>
      </c>
      <c r="AA59" s="1">
        <v>6</v>
      </c>
      <c r="AB59" s="1" t="str">
        <f t="shared" si="9"/>
        <v>LOW</v>
      </c>
      <c r="AC59" s="1">
        <v>0</v>
      </c>
      <c r="AD59" s="1" t="str">
        <f t="shared" si="10"/>
        <v>NOt Adopted</v>
      </c>
      <c r="AE59" s="1">
        <v>1</v>
      </c>
      <c r="AF59" s="1" t="str">
        <f t="shared" si="0"/>
        <v>Returned</v>
      </c>
      <c r="AG59" s="1">
        <v>0</v>
      </c>
      <c r="AH59" t="str">
        <f t="shared" si="11"/>
        <v>Fail</v>
      </c>
      <c r="AI59">
        <f t="shared" si="12"/>
        <v>7</v>
      </c>
      <c r="AJ59" t="str">
        <f t="shared" si="13"/>
        <v>High</v>
      </c>
    </row>
    <row r="60" spans="1:36" ht="22.15" customHeight="1" x14ac:dyDescent="0.2">
      <c r="A60" s="1" t="s">
        <v>121</v>
      </c>
      <c r="B60" s="1">
        <v>6</v>
      </c>
      <c r="C60" s="1" t="str">
        <f t="shared" si="1"/>
        <v>DECTATOR</v>
      </c>
      <c r="D60" s="1">
        <v>3</v>
      </c>
      <c r="E60" s="1" t="str">
        <f t="shared" si="2"/>
        <v>NOT-SATISFIED</v>
      </c>
      <c r="F60" s="1">
        <f t="shared" si="3"/>
        <v>57.5</v>
      </c>
      <c r="G60" s="1" t="str">
        <f t="shared" si="4"/>
        <v>NEED IMPROVEMENT</v>
      </c>
      <c r="H60" s="1">
        <v>3</v>
      </c>
      <c r="I60" s="1">
        <v>3</v>
      </c>
      <c r="J60" s="1">
        <v>3</v>
      </c>
      <c r="K60" s="1">
        <v>3</v>
      </c>
      <c r="L60" s="1">
        <v>4</v>
      </c>
      <c r="M60" s="1">
        <v>4</v>
      </c>
      <c r="N60" s="1">
        <v>4</v>
      </c>
      <c r="O60" s="1">
        <v>3</v>
      </c>
      <c r="P60" s="1">
        <v>5</v>
      </c>
      <c r="Q60" s="1">
        <v>3</v>
      </c>
      <c r="R60" s="1">
        <v>3</v>
      </c>
      <c r="S60" s="1" t="str">
        <f t="shared" si="5"/>
        <v>LOW</v>
      </c>
      <c r="T60" s="3">
        <v>46225.572916666657</v>
      </c>
      <c r="U60" s="3">
        <v>46225.581944444442</v>
      </c>
      <c r="V60" s="1">
        <f t="shared" si="6"/>
        <v>13</v>
      </c>
      <c r="W60" s="1" t="str">
        <f t="shared" si="7"/>
        <v>BAD</v>
      </c>
      <c r="X60" s="1">
        <f t="shared" si="8"/>
        <v>0</v>
      </c>
      <c r="Y60" s="1">
        <v>5</v>
      </c>
      <c r="Z60" s="1">
        <v>0</v>
      </c>
      <c r="AA60" s="1">
        <v>6</v>
      </c>
      <c r="AB60" s="1" t="str">
        <f t="shared" si="9"/>
        <v>LOW</v>
      </c>
      <c r="AC60" s="1">
        <v>1</v>
      </c>
      <c r="AD60" s="1" t="str">
        <f t="shared" si="10"/>
        <v>Adopted</v>
      </c>
      <c r="AE60" s="1">
        <v>1</v>
      </c>
      <c r="AF60" s="1" t="str">
        <f t="shared" si="0"/>
        <v>Returned</v>
      </c>
      <c r="AG60" s="1">
        <v>1</v>
      </c>
      <c r="AH60" t="str">
        <f t="shared" si="11"/>
        <v>Success</v>
      </c>
      <c r="AI60">
        <f t="shared" si="12"/>
        <v>3</v>
      </c>
      <c r="AJ60" t="str">
        <f t="shared" si="13"/>
        <v>Low</v>
      </c>
    </row>
    <row r="61" spans="1:36" ht="22.15" customHeight="1" x14ac:dyDescent="0.2">
      <c r="A61" s="1" t="s">
        <v>122</v>
      </c>
      <c r="B61" s="1">
        <v>5</v>
      </c>
      <c r="C61" s="1" t="str">
        <f t="shared" si="1"/>
        <v>DECTATOR</v>
      </c>
      <c r="D61" s="1">
        <v>3</v>
      </c>
      <c r="E61" s="1" t="str">
        <f t="shared" si="2"/>
        <v>NOT-SATISFIED</v>
      </c>
      <c r="F61" s="1">
        <f t="shared" si="3"/>
        <v>55</v>
      </c>
      <c r="G61" s="1" t="str">
        <f t="shared" si="4"/>
        <v>NEED IMPROVEMENT</v>
      </c>
      <c r="H61" s="1">
        <v>2</v>
      </c>
      <c r="I61" s="1">
        <v>3</v>
      </c>
      <c r="J61" s="1">
        <v>2</v>
      </c>
      <c r="K61" s="1">
        <v>2</v>
      </c>
      <c r="L61" s="1">
        <v>2</v>
      </c>
      <c r="M61" s="1">
        <v>1</v>
      </c>
      <c r="N61" s="1">
        <v>5</v>
      </c>
      <c r="O61" s="1">
        <v>2</v>
      </c>
      <c r="P61" s="1">
        <v>2</v>
      </c>
      <c r="Q61" s="1">
        <v>3</v>
      </c>
      <c r="R61" s="1">
        <v>4</v>
      </c>
      <c r="S61" s="1" t="str">
        <f t="shared" si="5"/>
        <v>MODERATE</v>
      </c>
      <c r="T61" s="3">
        <v>46206.430555555547</v>
      </c>
      <c r="U61" s="3">
        <v>46206.435416666667</v>
      </c>
      <c r="V61" s="1">
        <f t="shared" si="6"/>
        <v>7</v>
      </c>
      <c r="W61" s="1" t="str">
        <f t="shared" si="7"/>
        <v>SATISFACTORY</v>
      </c>
      <c r="X61" s="1">
        <f t="shared" si="8"/>
        <v>0</v>
      </c>
      <c r="Y61" s="1">
        <v>4</v>
      </c>
      <c r="Z61" s="1">
        <v>0</v>
      </c>
      <c r="AA61" s="1">
        <v>2</v>
      </c>
      <c r="AB61" s="1" t="str">
        <f t="shared" si="9"/>
        <v>LOW</v>
      </c>
      <c r="AC61" s="1">
        <v>1</v>
      </c>
      <c r="AD61" s="1" t="str">
        <f t="shared" si="10"/>
        <v>Adopted</v>
      </c>
      <c r="AE61" s="1">
        <v>1</v>
      </c>
      <c r="AF61" s="1" t="str">
        <f t="shared" si="0"/>
        <v>Returned</v>
      </c>
      <c r="AG61" s="1">
        <v>0</v>
      </c>
      <c r="AH61" t="str">
        <f t="shared" si="11"/>
        <v>Fail</v>
      </c>
      <c r="AI61">
        <f t="shared" si="12"/>
        <v>5</v>
      </c>
      <c r="AJ61" t="str">
        <f t="shared" si="13"/>
        <v>Medium</v>
      </c>
    </row>
    <row r="62" spans="1:36" ht="22.15" customHeight="1" x14ac:dyDescent="0.2">
      <c r="A62" s="1" t="s">
        <v>123</v>
      </c>
      <c r="B62" s="1">
        <v>5</v>
      </c>
      <c r="C62" s="1" t="str">
        <f t="shared" si="1"/>
        <v>DECTATOR</v>
      </c>
      <c r="D62" s="1">
        <v>3</v>
      </c>
      <c r="E62" s="1" t="str">
        <f t="shared" si="2"/>
        <v>NOT-SATISFIED</v>
      </c>
      <c r="F62" s="1">
        <f t="shared" si="3"/>
        <v>42.5</v>
      </c>
      <c r="G62" s="1" t="str">
        <f t="shared" si="4"/>
        <v>POOR</v>
      </c>
      <c r="H62" s="1">
        <v>2</v>
      </c>
      <c r="I62" s="1">
        <v>2</v>
      </c>
      <c r="J62" s="1">
        <v>1</v>
      </c>
      <c r="K62" s="1">
        <v>3</v>
      </c>
      <c r="L62" s="1">
        <v>1</v>
      </c>
      <c r="M62" s="1">
        <v>3</v>
      </c>
      <c r="N62" s="1">
        <v>3</v>
      </c>
      <c r="O62" s="1">
        <v>1</v>
      </c>
      <c r="P62" s="1">
        <v>2</v>
      </c>
      <c r="Q62" s="1">
        <v>3</v>
      </c>
      <c r="R62" s="1">
        <v>6</v>
      </c>
      <c r="S62" s="1" t="str">
        <f t="shared" si="5"/>
        <v>HIGH</v>
      </c>
      <c r="T62" s="3">
        <v>46221.505555555559</v>
      </c>
      <c r="U62" s="3">
        <v>46221.513888888891</v>
      </c>
      <c r="V62" s="1">
        <f t="shared" si="6"/>
        <v>12</v>
      </c>
      <c r="W62" s="1" t="str">
        <f t="shared" si="7"/>
        <v>BAD</v>
      </c>
      <c r="X62" s="1">
        <f t="shared" si="8"/>
        <v>40</v>
      </c>
      <c r="Y62" s="1">
        <v>5</v>
      </c>
      <c r="Z62" s="1">
        <v>2</v>
      </c>
      <c r="AA62" s="1">
        <v>1</v>
      </c>
      <c r="AB62" s="1" t="str">
        <f t="shared" si="9"/>
        <v>LOW</v>
      </c>
      <c r="AC62" s="1">
        <v>1</v>
      </c>
      <c r="AD62" s="1" t="str">
        <f t="shared" si="10"/>
        <v>Adopted</v>
      </c>
      <c r="AE62" s="1">
        <v>0</v>
      </c>
      <c r="AF62" s="1" t="str">
        <f t="shared" si="0"/>
        <v>Not Returned</v>
      </c>
      <c r="AG62" s="1">
        <v>1</v>
      </c>
      <c r="AH62" t="str">
        <f t="shared" si="11"/>
        <v>Success</v>
      </c>
      <c r="AI62">
        <f t="shared" si="12"/>
        <v>7</v>
      </c>
      <c r="AJ62" t="str">
        <f t="shared" si="13"/>
        <v>High</v>
      </c>
    </row>
    <row r="63" spans="1:36" ht="22.15" customHeight="1" x14ac:dyDescent="0.2">
      <c r="A63" s="1" t="s">
        <v>124</v>
      </c>
      <c r="B63" s="1">
        <v>5</v>
      </c>
      <c r="C63" s="1" t="str">
        <f t="shared" si="1"/>
        <v>DECTATOR</v>
      </c>
      <c r="D63" s="1">
        <v>3</v>
      </c>
      <c r="E63" s="1" t="str">
        <f t="shared" si="2"/>
        <v>NOT-SATISFIED</v>
      </c>
      <c r="F63" s="1">
        <f t="shared" si="3"/>
        <v>55</v>
      </c>
      <c r="G63" s="1" t="str">
        <f t="shared" si="4"/>
        <v>NEED IMPROVEMENT</v>
      </c>
      <c r="H63" s="1">
        <v>2</v>
      </c>
      <c r="I63" s="1">
        <v>2</v>
      </c>
      <c r="J63" s="1">
        <v>3</v>
      </c>
      <c r="K63" s="1">
        <v>1</v>
      </c>
      <c r="L63" s="1">
        <v>2</v>
      </c>
      <c r="M63" s="1">
        <v>3</v>
      </c>
      <c r="N63" s="1">
        <v>2</v>
      </c>
      <c r="O63" s="1">
        <v>1</v>
      </c>
      <c r="P63" s="1">
        <v>2</v>
      </c>
      <c r="Q63" s="1">
        <v>2</v>
      </c>
      <c r="R63" s="1">
        <v>6</v>
      </c>
      <c r="S63" s="1" t="str">
        <f t="shared" si="5"/>
        <v>HIGH</v>
      </c>
      <c r="T63" s="3">
        <v>46229.767361111109</v>
      </c>
      <c r="U63" s="3">
        <v>46229.77847222222</v>
      </c>
      <c r="V63" s="1">
        <f t="shared" si="6"/>
        <v>16</v>
      </c>
      <c r="W63" s="1" t="str">
        <f t="shared" si="7"/>
        <v>BAD</v>
      </c>
      <c r="X63" s="1">
        <f t="shared" si="8"/>
        <v>40</v>
      </c>
      <c r="Y63" s="1">
        <v>5</v>
      </c>
      <c r="Z63" s="1">
        <v>2</v>
      </c>
      <c r="AA63" s="1">
        <v>4</v>
      </c>
      <c r="AB63" s="1" t="str">
        <f t="shared" si="9"/>
        <v>LOW</v>
      </c>
      <c r="AC63" s="1">
        <v>1</v>
      </c>
      <c r="AD63" s="1" t="str">
        <f t="shared" si="10"/>
        <v>Adopted</v>
      </c>
      <c r="AE63" s="1">
        <v>0</v>
      </c>
      <c r="AF63" s="1" t="str">
        <f t="shared" si="0"/>
        <v>Not Returned</v>
      </c>
      <c r="AG63" s="1">
        <v>0</v>
      </c>
      <c r="AH63" t="str">
        <f t="shared" si="11"/>
        <v>Fail</v>
      </c>
      <c r="AI63">
        <f t="shared" si="12"/>
        <v>8</v>
      </c>
      <c r="AJ63" t="str">
        <f t="shared" si="13"/>
        <v>High</v>
      </c>
    </row>
    <row r="64" spans="1:36" ht="22.15" customHeight="1" x14ac:dyDescent="0.2">
      <c r="A64" s="1" t="s">
        <v>125</v>
      </c>
      <c r="B64" s="1">
        <v>8</v>
      </c>
      <c r="C64" s="1" t="str">
        <f t="shared" si="1"/>
        <v>PASS</v>
      </c>
      <c r="D64" s="1">
        <v>5</v>
      </c>
      <c r="E64" s="1" t="str">
        <f t="shared" si="2"/>
        <v>SATISFIED</v>
      </c>
      <c r="F64" s="1">
        <f t="shared" si="3"/>
        <v>42.5</v>
      </c>
      <c r="G64" s="1" t="str">
        <f t="shared" si="4"/>
        <v>POOR</v>
      </c>
      <c r="H64" s="1">
        <v>4</v>
      </c>
      <c r="I64" s="1">
        <v>4</v>
      </c>
      <c r="J64" s="1">
        <v>4</v>
      </c>
      <c r="K64" s="1">
        <v>5</v>
      </c>
      <c r="L64" s="1">
        <v>4</v>
      </c>
      <c r="M64" s="1">
        <v>5</v>
      </c>
      <c r="N64" s="1">
        <v>4</v>
      </c>
      <c r="O64" s="1">
        <v>5</v>
      </c>
      <c r="P64" s="1">
        <v>4</v>
      </c>
      <c r="Q64" s="1">
        <v>4</v>
      </c>
      <c r="R64" s="1">
        <v>3</v>
      </c>
      <c r="S64" s="1" t="str">
        <f t="shared" si="5"/>
        <v>LOW</v>
      </c>
      <c r="T64" s="3">
        <v>46231.452777777777</v>
      </c>
      <c r="U64" s="3">
        <v>46231.45416666667</v>
      </c>
      <c r="V64" s="1">
        <f t="shared" si="6"/>
        <v>2</v>
      </c>
      <c r="W64" s="1" t="str">
        <f t="shared" si="7"/>
        <v>GOOD</v>
      </c>
      <c r="X64" s="1">
        <f t="shared" si="8"/>
        <v>0</v>
      </c>
      <c r="Y64" s="1">
        <v>5</v>
      </c>
      <c r="Z64" s="1">
        <v>0</v>
      </c>
      <c r="AA64" s="1">
        <v>9</v>
      </c>
      <c r="AB64" s="1" t="str">
        <f t="shared" si="9"/>
        <v>MEDIUM</v>
      </c>
      <c r="AC64" s="1">
        <v>1</v>
      </c>
      <c r="AD64" s="1" t="str">
        <f t="shared" si="10"/>
        <v>Adopted</v>
      </c>
      <c r="AE64" s="1">
        <v>1</v>
      </c>
      <c r="AF64" s="1" t="str">
        <f t="shared" si="0"/>
        <v>Returned</v>
      </c>
      <c r="AG64" s="1">
        <v>1</v>
      </c>
      <c r="AH64" t="str">
        <f t="shared" si="11"/>
        <v>Success</v>
      </c>
      <c r="AI64">
        <f t="shared" si="12"/>
        <v>1</v>
      </c>
      <c r="AJ64" t="str">
        <f t="shared" si="13"/>
        <v>Low</v>
      </c>
    </row>
    <row r="65" spans="1:36" ht="22.15" customHeight="1" x14ac:dyDescent="0.2">
      <c r="A65" s="1" t="s">
        <v>126</v>
      </c>
      <c r="B65" s="1">
        <v>8</v>
      </c>
      <c r="C65" s="1" t="str">
        <f t="shared" si="1"/>
        <v>PASS</v>
      </c>
      <c r="D65" s="1">
        <v>4</v>
      </c>
      <c r="E65" s="1" t="str">
        <f t="shared" si="2"/>
        <v>SATISFIED</v>
      </c>
      <c r="F65" s="1">
        <f t="shared" si="3"/>
        <v>45</v>
      </c>
      <c r="G65" s="1" t="str">
        <f t="shared" si="4"/>
        <v>POOR</v>
      </c>
      <c r="H65" s="1">
        <v>4</v>
      </c>
      <c r="I65" s="1">
        <v>4</v>
      </c>
      <c r="J65" s="1">
        <v>3</v>
      </c>
      <c r="K65" s="1">
        <v>3</v>
      </c>
      <c r="L65" s="1">
        <v>3</v>
      </c>
      <c r="M65" s="1">
        <v>4</v>
      </c>
      <c r="N65" s="1">
        <v>3</v>
      </c>
      <c r="O65" s="1">
        <v>4</v>
      </c>
      <c r="P65" s="1">
        <v>3</v>
      </c>
      <c r="Q65" s="1">
        <v>3</v>
      </c>
      <c r="R65" s="1">
        <v>5</v>
      </c>
      <c r="S65" s="1" t="str">
        <f t="shared" si="5"/>
        <v>MODERATE</v>
      </c>
      <c r="T65" s="3">
        <v>46216.35833333333</v>
      </c>
      <c r="U65" s="3">
        <v>46216.361805555563</v>
      </c>
      <c r="V65" s="1">
        <f t="shared" si="6"/>
        <v>5</v>
      </c>
      <c r="W65" s="1" t="str">
        <f t="shared" si="7"/>
        <v>GOOD</v>
      </c>
      <c r="X65" s="1">
        <f t="shared" si="8"/>
        <v>0</v>
      </c>
      <c r="Y65" s="1">
        <v>3</v>
      </c>
      <c r="Z65" s="1">
        <v>0</v>
      </c>
      <c r="AA65" s="1">
        <v>6</v>
      </c>
      <c r="AB65" s="1" t="str">
        <f t="shared" si="9"/>
        <v>LOW</v>
      </c>
      <c r="AC65" s="1">
        <v>1</v>
      </c>
      <c r="AD65" s="1" t="str">
        <f t="shared" si="10"/>
        <v>Adopted</v>
      </c>
      <c r="AE65" s="1">
        <v>0</v>
      </c>
      <c r="AF65" s="1" t="str">
        <f t="shared" si="0"/>
        <v>Not Returned</v>
      </c>
      <c r="AG65" s="1">
        <v>1</v>
      </c>
      <c r="AH65" t="str">
        <f t="shared" si="11"/>
        <v>Success</v>
      </c>
      <c r="AI65">
        <f t="shared" si="12"/>
        <v>2</v>
      </c>
      <c r="AJ65" t="str">
        <f t="shared" si="13"/>
        <v>Low</v>
      </c>
    </row>
    <row r="66" spans="1:36" ht="22.15" customHeight="1" x14ac:dyDescent="0.2">
      <c r="A66" s="1" t="s">
        <v>127</v>
      </c>
      <c r="B66" s="1">
        <v>6</v>
      </c>
      <c r="C66" s="1" t="str">
        <f t="shared" si="1"/>
        <v>DECTATOR</v>
      </c>
      <c r="D66" s="1">
        <v>4</v>
      </c>
      <c r="E66" s="1" t="str">
        <f t="shared" si="2"/>
        <v>SATISFIED</v>
      </c>
      <c r="F66" s="1">
        <f t="shared" si="3"/>
        <v>52.5</v>
      </c>
      <c r="G66" s="1" t="str">
        <f t="shared" si="4"/>
        <v>NEED IMPROVEMENT</v>
      </c>
      <c r="H66" s="1">
        <v>4</v>
      </c>
      <c r="I66" s="1">
        <v>3</v>
      </c>
      <c r="J66" s="1">
        <v>3</v>
      </c>
      <c r="K66" s="1">
        <v>3</v>
      </c>
      <c r="L66" s="1">
        <v>2</v>
      </c>
      <c r="M66" s="1">
        <v>3</v>
      </c>
      <c r="N66" s="1">
        <v>3</v>
      </c>
      <c r="O66" s="1">
        <v>3</v>
      </c>
      <c r="P66" s="1">
        <v>3</v>
      </c>
      <c r="Q66" s="1">
        <v>2</v>
      </c>
      <c r="R66" s="1">
        <v>5</v>
      </c>
      <c r="S66" s="1" t="str">
        <f t="shared" si="5"/>
        <v>MODERATE</v>
      </c>
      <c r="T66" s="3">
        <v>46220.631249999999</v>
      </c>
      <c r="U66" s="3">
        <v>46220.636111111111</v>
      </c>
      <c r="V66" s="1">
        <f t="shared" si="6"/>
        <v>7</v>
      </c>
      <c r="W66" s="1" t="str">
        <f t="shared" si="7"/>
        <v>SATISFACTORY</v>
      </c>
      <c r="X66" s="1">
        <f t="shared" si="8"/>
        <v>25</v>
      </c>
      <c r="Y66" s="1">
        <v>4</v>
      </c>
      <c r="Z66" s="1">
        <v>1</v>
      </c>
      <c r="AA66" s="1">
        <v>5</v>
      </c>
      <c r="AB66" s="1" t="str">
        <f t="shared" si="9"/>
        <v>LOW</v>
      </c>
      <c r="AC66" s="1">
        <v>1</v>
      </c>
      <c r="AD66" s="1" t="str">
        <f t="shared" si="10"/>
        <v>Adopted</v>
      </c>
      <c r="AE66" s="1">
        <v>0</v>
      </c>
      <c r="AF66" s="1" t="str">
        <f t="shared" ref="AF66:AF78" si="14">IF(AE66=0,"Not Returned",IF(AE66=1,"Returned"))</f>
        <v>Not Returned</v>
      </c>
      <c r="AG66" s="1">
        <v>1</v>
      </c>
      <c r="AH66" t="str">
        <f t="shared" si="11"/>
        <v>Success</v>
      </c>
      <c r="AI66">
        <f t="shared" si="12"/>
        <v>3</v>
      </c>
      <c r="AJ66" t="str">
        <f t="shared" si="13"/>
        <v>Low</v>
      </c>
    </row>
    <row r="67" spans="1:36" ht="22.15" customHeight="1" x14ac:dyDescent="0.2">
      <c r="A67" s="1" t="s">
        <v>128</v>
      </c>
      <c r="B67" s="1">
        <v>5</v>
      </c>
      <c r="C67" s="1" t="str">
        <f t="shared" ref="C67:C101" si="15">IF(B67&gt;=9,"PROM",IF(B67&gt;=7,"PASS","DECTATOR"))</f>
        <v>DECTATOR</v>
      </c>
      <c r="D67" s="1">
        <v>3</v>
      </c>
      <c r="E67" s="1" t="str">
        <f t="shared" ref="E67:E101" si="16">IF(D67&gt;=4,"SATISFIED","NOT-SATISFIED")</f>
        <v>NOT-SATISFIED</v>
      </c>
      <c r="F67" s="1">
        <f t="shared" ref="F67:F101" si="17">(H67-1+5-I67+J67-1+5-K67+L67-1+5-M67+N67-1+5-O67+P67-1+5-Q67)*2.5</f>
        <v>42.5</v>
      </c>
      <c r="G67" s="1" t="str">
        <f t="shared" ref="G67:G101" si="18">IF(F67&lt;=50,"POOR",IF(F67&lt;=70,"NEED IMPROVEMENT",IF(F67&lt;=80,"GOOD","EXCELLENT")))</f>
        <v>POOR</v>
      </c>
      <c r="H67" s="1">
        <v>2</v>
      </c>
      <c r="I67" s="1">
        <v>2</v>
      </c>
      <c r="J67" s="1">
        <v>1</v>
      </c>
      <c r="K67" s="1">
        <v>2</v>
      </c>
      <c r="L67" s="1">
        <v>2</v>
      </c>
      <c r="M67" s="1">
        <v>2</v>
      </c>
      <c r="N67" s="1">
        <v>2</v>
      </c>
      <c r="O67" s="1">
        <v>3</v>
      </c>
      <c r="P67" s="1">
        <v>3</v>
      </c>
      <c r="Q67" s="1">
        <v>4</v>
      </c>
      <c r="R67" s="1">
        <v>5</v>
      </c>
      <c r="S67" s="1" t="str">
        <f t="shared" ref="S67:S101" si="19">IF(R67&lt;4,"LOW",IF(R67&lt;6,"MODERATE",IF(R67&gt;5,"HIGH")))</f>
        <v>MODERATE</v>
      </c>
      <c r="T67" s="3">
        <v>46228.73333333333</v>
      </c>
      <c r="U67" s="3">
        <v>46228.740277777782</v>
      </c>
      <c r="V67" s="1">
        <f t="shared" ref="V67:V101" si="20">ROUND(((U67-T67)*1440),0)</f>
        <v>10</v>
      </c>
      <c r="W67" s="1" t="str">
        <f t="shared" ref="W67:W101" si="21">IF(V67&lt;=5,"GOOD",IF(V67&lt;=10,"SATISFACTORY","BAD"))</f>
        <v>SATISFACTORY</v>
      </c>
      <c r="X67" s="1">
        <f t="shared" ref="X67:X101" si="22">(Z67/Y67)*100</f>
        <v>0</v>
      </c>
      <c r="Y67" s="1">
        <v>5</v>
      </c>
      <c r="Z67" s="1">
        <v>0</v>
      </c>
      <c r="AA67" s="1">
        <v>5</v>
      </c>
      <c r="AB67" s="1" t="str">
        <f t="shared" ref="AB67:AB100" si="23">IF(AA67&lt;=6,"LOW",IF(AA67&lt;=10,"MEDIUM","HIGH"))</f>
        <v>LOW</v>
      </c>
      <c r="AC67" s="1">
        <v>0</v>
      </c>
      <c r="AD67" s="1" t="str">
        <f t="shared" ref="AD67:AD101" si="24">IF(AC67=0,"NOt Adopted",IF(AC67=1,"Adopted"))</f>
        <v>NOt Adopted</v>
      </c>
      <c r="AE67" s="1">
        <v>1</v>
      </c>
      <c r="AF67" s="1" t="str">
        <f t="shared" si="14"/>
        <v>Returned</v>
      </c>
      <c r="AG67" s="1">
        <v>1</v>
      </c>
      <c r="AH67" t="str">
        <f t="shared" ref="AH67:AH101" si="25">IF(AG67=0,"Fail",IF(AG67=1,"Success"))</f>
        <v>Success</v>
      </c>
      <c r="AI67">
        <f t="shared" ref="AI67:AI101" si="26">IF(B67&lt;7,1,0)+IF(D67&lt;4,1,0)+IF(F67&lt;60,1,0)+IF(R67&gt;=6,1,0)+IF(V67&gt;15,1,0)+IF(Y67&gt;5,1,0)+IF(X67&gt;=30,1,0)+IF(AA67&lt;=2,1,0)+IF(AC67=0,1,0)+IF(AE67=0,1,0)+IF(AG67=0,1,0)</f>
        <v>4</v>
      </c>
      <c r="AJ67" t="str">
        <f t="shared" ref="AJ67:AJ101" si="27">IF(AI67&gt;=6,"High",IF(AI67&gt;=4,"Medium","Low"))</f>
        <v>Medium</v>
      </c>
    </row>
    <row r="68" spans="1:36" ht="22.15" customHeight="1" x14ac:dyDescent="0.2">
      <c r="A68" s="1" t="s">
        <v>129</v>
      </c>
      <c r="B68" s="1">
        <v>8</v>
      </c>
      <c r="C68" s="1" t="str">
        <f t="shared" si="15"/>
        <v>PASS</v>
      </c>
      <c r="D68" s="1">
        <v>4</v>
      </c>
      <c r="E68" s="1" t="str">
        <f t="shared" si="16"/>
        <v>SATISFIED</v>
      </c>
      <c r="F68" s="1">
        <f t="shared" si="17"/>
        <v>45</v>
      </c>
      <c r="G68" s="1" t="str">
        <f t="shared" si="18"/>
        <v>POOR</v>
      </c>
      <c r="H68" s="1">
        <v>4</v>
      </c>
      <c r="I68" s="1">
        <v>4</v>
      </c>
      <c r="J68" s="1">
        <v>3</v>
      </c>
      <c r="K68" s="1">
        <v>4</v>
      </c>
      <c r="L68" s="1">
        <v>3</v>
      </c>
      <c r="M68" s="1">
        <v>4</v>
      </c>
      <c r="N68" s="1">
        <v>4</v>
      </c>
      <c r="O68" s="1">
        <v>3</v>
      </c>
      <c r="P68" s="1">
        <v>3</v>
      </c>
      <c r="Q68" s="1">
        <v>4</v>
      </c>
      <c r="R68" s="1">
        <v>3</v>
      </c>
      <c r="S68" s="1" t="str">
        <f t="shared" si="19"/>
        <v>LOW</v>
      </c>
      <c r="T68" s="3">
        <v>46225.647916666669</v>
      </c>
      <c r="U68" s="3">
        <v>46225.649305555547</v>
      </c>
      <c r="V68" s="1">
        <f t="shared" si="20"/>
        <v>2</v>
      </c>
      <c r="W68" s="1" t="str">
        <f t="shared" si="21"/>
        <v>GOOD</v>
      </c>
      <c r="X68" s="1">
        <f t="shared" si="22"/>
        <v>0</v>
      </c>
      <c r="Y68" s="1">
        <v>6</v>
      </c>
      <c r="Z68" s="1">
        <v>0</v>
      </c>
      <c r="AA68" s="1">
        <v>9</v>
      </c>
      <c r="AB68" s="1" t="str">
        <f t="shared" si="23"/>
        <v>MEDIUM</v>
      </c>
      <c r="AC68" s="1">
        <v>1</v>
      </c>
      <c r="AD68" s="1" t="str">
        <f t="shared" si="24"/>
        <v>Adopted</v>
      </c>
      <c r="AE68" s="1">
        <v>0</v>
      </c>
      <c r="AF68" s="1" t="str">
        <f t="shared" si="14"/>
        <v>Not Returned</v>
      </c>
      <c r="AG68" s="1">
        <v>1</v>
      </c>
      <c r="AH68" t="str">
        <f t="shared" si="25"/>
        <v>Success</v>
      </c>
      <c r="AI68">
        <f t="shared" si="26"/>
        <v>3</v>
      </c>
      <c r="AJ68" t="str">
        <f t="shared" si="27"/>
        <v>Low</v>
      </c>
    </row>
    <row r="69" spans="1:36" ht="22.15" customHeight="1" x14ac:dyDescent="0.2">
      <c r="A69" s="1" t="s">
        <v>130</v>
      </c>
      <c r="B69" s="1">
        <v>5</v>
      </c>
      <c r="C69" s="1" t="str">
        <f t="shared" si="15"/>
        <v>DECTATOR</v>
      </c>
      <c r="D69" s="1">
        <v>4</v>
      </c>
      <c r="E69" s="1" t="str">
        <f t="shared" si="16"/>
        <v>SATISFIED</v>
      </c>
      <c r="F69" s="1">
        <f t="shared" si="17"/>
        <v>55</v>
      </c>
      <c r="G69" s="1" t="str">
        <f t="shared" si="18"/>
        <v>NEED IMPROVEMENT</v>
      </c>
      <c r="H69" s="1">
        <v>3</v>
      </c>
      <c r="I69" s="1">
        <v>2</v>
      </c>
      <c r="J69" s="1">
        <v>2</v>
      </c>
      <c r="K69" s="1">
        <v>2</v>
      </c>
      <c r="L69" s="1">
        <v>3</v>
      </c>
      <c r="M69" s="1">
        <v>1</v>
      </c>
      <c r="N69" s="1">
        <v>2</v>
      </c>
      <c r="O69" s="1">
        <v>3</v>
      </c>
      <c r="P69" s="1">
        <v>2</v>
      </c>
      <c r="Q69" s="1">
        <v>2</v>
      </c>
      <c r="R69" s="1">
        <v>6</v>
      </c>
      <c r="S69" s="1" t="str">
        <f t="shared" si="19"/>
        <v>HIGH</v>
      </c>
      <c r="T69" s="3">
        <v>46232.619444444441</v>
      </c>
      <c r="U69" s="3">
        <v>46232.625694444447</v>
      </c>
      <c r="V69" s="1">
        <f t="shared" si="20"/>
        <v>9</v>
      </c>
      <c r="W69" s="1" t="str">
        <f t="shared" si="21"/>
        <v>SATISFACTORY</v>
      </c>
      <c r="X69" s="1">
        <f t="shared" si="22"/>
        <v>75</v>
      </c>
      <c r="Y69" s="1">
        <v>4</v>
      </c>
      <c r="Z69" s="1">
        <v>3</v>
      </c>
      <c r="AA69" s="1">
        <v>8</v>
      </c>
      <c r="AB69" s="1" t="str">
        <f t="shared" si="23"/>
        <v>MEDIUM</v>
      </c>
      <c r="AC69" s="1">
        <v>0</v>
      </c>
      <c r="AD69" s="1" t="str">
        <f t="shared" si="24"/>
        <v>NOt Adopted</v>
      </c>
      <c r="AE69" s="1">
        <v>1</v>
      </c>
      <c r="AF69" s="1" t="str">
        <f t="shared" si="14"/>
        <v>Returned</v>
      </c>
      <c r="AG69" s="1">
        <v>1</v>
      </c>
      <c r="AH69" t="str">
        <f t="shared" si="25"/>
        <v>Success</v>
      </c>
      <c r="AI69">
        <f t="shared" si="26"/>
        <v>5</v>
      </c>
      <c r="AJ69" t="str">
        <f t="shared" si="27"/>
        <v>Medium</v>
      </c>
    </row>
    <row r="70" spans="1:36" ht="22.15" customHeight="1" x14ac:dyDescent="0.2">
      <c r="A70" s="1" t="s">
        <v>131</v>
      </c>
      <c r="B70" s="1">
        <v>10</v>
      </c>
      <c r="C70" s="1" t="str">
        <f t="shared" si="15"/>
        <v>PROM</v>
      </c>
      <c r="D70" s="1">
        <v>4</v>
      </c>
      <c r="E70" s="1" t="str">
        <f t="shared" si="16"/>
        <v>SATISFIED</v>
      </c>
      <c r="F70" s="1">
        <f t="shared" si="17"/>
        <v>50</v>
      </c>
      <c r="G70" s="1" t="str">
        <f t="shared" si="18"/>
        <v>POOR</v>
      </c>
      <c r="H70" s="1">
        <v>3</v>
      </c>
      <c r="I70" s="1">
        <v>4</v>
      </c>
      <c r="J70" s="1">
        <v>3</v>
      </c>
      <c r="K70" s="1">
        <v>3</v>
      </c>
      <c r="L70" s="1">
        <v>5</v>
      </c>
      <c r="M70" s="1">
        <v>4</v>
      </c>
      <c r="N70" s="1">
        <v>4</v>
      </c>
      <c r="O70" s="1">
        <v>4</v>
      </c>
      <c r="P70" s="1">
        <v>4</v>
      </c>
      <c r="Q70" s="1">
        <v>4</v>
      </c>
      <c r="R70" s="1">
        <v>4</v>
      </c>
      <c r="S70" s="1" t="str">
        <f t="shared" si="19"/>
        <v>MODERATE</v>
      </c>
      <c r="T70" s="3">
        <v>46219.404861111107</v>
      </c>
      <c r="U70" s="3">
        <v>46219.410416666673</v>
      </c>
      <c r="V70" s="1">
        <f t="shared" si="20"/>
        <v>8</v>
      </c>
      <c r="W70" s="1" t="str">
        <f t="shared" si="21"/>
        <v>SATISFACTORY</v>
      </c>
      <c r="X70" s="1">
        <f t="shared" si="22"/>
        <v>0</v>
      </c>
      <c r="Y70" s="1">
        <v>4</v>
      </c>
      <c r="Z70" s="1">
        <v>0</v>
      </c>
      <c r="AA70" s="1">
        <v>9</v>
      </c>
      <c r="AB70" s="1" t="str">
        <f t="shared" si="23"/>
        <v>MEDIUM</v>
      </c>
      <c r="AC70" s="1">
        <v>1</v>
      </c>
      <c r="AD70" s="1" t="str">
        <f t="shared" si="24"/>
        <v>Adopted</v>
      </c>
      <c r="AE70" s="1">
        <v>0</v>
      </c>
      <c r="AF70" s="1" t="str">
        <f t="shared" si="14"/>
        <v>Not Returned</v>
      </c>
      <c r="AG70" s="1">
        <v>1</v>
      </c>
      <c r="AH70" t="str">
        <f t="shared" si="25"/>
        <v>Success</v>
      </c>
      <c r="AI70">
        <f t="shared" si="26"/>
        <v>2</v>
      </c>
      <c r="AJ70" t="str">
        <f t="shared" si="27"/>
        <v>Low</v>
      </c>
    </row>
    <row r="71" spans="1:36" ht="22.15" customHeight="1" x14ac:dyDescent="0.2">
      <c r="A71" s="1" t="s">
        <v>132</v>
      </c>
      <c r="B71" s="1">
        <v>4</v>
      </c>
      <c r="C71" s="1" t="str">
        <f t="shared" si="15"/>
        <v>DECTATOR</v>
      </c>
      <c r="D71" s="1">
        <v>2</v>
      </c>
      <c r="E71" s="1" t="str">
        <f t="shared" si="16"/>
        <v>NOT-SATISFIED</v>
      </c>
      <c r="F71" s="1">
        <f t="shared" si="17"/>
        <v>50</v>
      </c>
      <c r="G71" s="1" t="str">
        <f t="shared" si="18"/>
        <v>POOR</v>
      </c>
      <c r="H71" s="1">
        <v>3</v>
      </c>
      <c r="I71" s="1">
        <v>2</v>
      </c>
      <c r="J71" s="1">
        <v>2</v>
      </c>
      <c r="K71" s="1">
        <v>4</v>
      </c>
      <c r="L71" s="1">
        <v>2</v>
      </c>
      <c r="M71" s="1">
        <v>3</v>
      </c>
      <c r="N71" s="1">
        <v>4</v>
      </c>
      <c r="O71" s="1">
        <v>3</v>
      </c>
      <c r="P71" s="1">
        <v>4</v>
      </c>
      <c r="Q71" s="1">
        <v>3</v>
      </c>
      <c r="R71" s="1">
        <v>5</v>
      </c>
      <c r="S71" s="1" t="str">
        <f t="shared" si="19"/>
        <v>MODERATE</v>
      </c>
      <c r="T71" s="3">
        <v>46219.457638888889</v>
      </c>
      <c r="U71" s="3">
        <v>46219.465277777781</v>
      </c>
      <c r="V71" s="1">
        <f t="shared" si="20"/>
        <v>11</v>
      </c>
      <c r="W71" s="1" t="str">
        <f t="shared" si="21"/>
        <v>BAD</v>
      </c>
      <c r="X71" s="1">
        <f t="shared" si="22"/>
        <v>60</v>
      </c>
      <c r="Y71" s="1">
        <v>5</v>
      </c>
      <c r="Z71" s="1">
        <v>3</v>
      </c>
      <c r="AA71" s="1">
        <v>1</v>
      </c>
      <c r="AB71" s="1" t="str">
        <f t="shared" si="23"/>
        <v>LOW</v>
      </c>
      <c r="AC71" s="1">
        <v>1</v>
      </c>
      <c r="AD71" s="1" t="str">
        <f t="shared" si="24"/>
        <v>Adopted</v>
      </c>
      <c r="AE71" s="1">
        <v>1</v>
      </c>
      <c r="AF71" s="1" t="str">
        <f t="shared" si="14"/>
        <v>Returned</v>
      </c>
      <c r="AG71" s="1">
        <v>1</v>
      </c>
      <c r="AH71" t="str">
        <f t="shared" si="25"/>
        <v>Success</v>
      </c>
      <c r="AI71">
        <f t="shared" si="26"/>
        <v>5</v>
      </c>
      <c r="AJ71" t="str">
        <f t="shared" si="27"/>
        <v>Medium</v>
      </c>
    </row>
    <row r="72" spans="1:36" ht="22.15" customHeight="1" x14ac:dyDescent="0.2">
      <c r="A72" s="1" t="s">
        <v>133</v>
      </c>
      <c r="B72" s="1">
        <v>3</v>
      </c>
      <c r="C72" s="1" t="str">
        <f t="shared" si="15"/>
        <v>DECTATOR</v>
      </c>
      <c r="D72" s="1">
        <v>3</v>
      </c>
      <c r="E72" s="1" t="str">
        <f t="shared" si="16"/>
        <v>NOT-SATISFIED</v>
      </c>
      <c r="F72" s="1">
        <f t="shared" si="17"/>
        <v>37.5</v>
      </c>
      <c r="G72" s="1" t="str">
        <f t="shared" si="18"/>
        <v>POOR</v>
      </c>
      <c r="H72" s="1">
        <v>2</v>
      </c>
      <c r="I72" s="1">
        <v>3</v>
      </c>
      <c r="J72" s="1">
        <v>1</v>
      </c>
      <c r="K72" s="1">
        <v>3</v>
      </c>
      <c r="L72" s="1">
        <v>1</v>
      </c>
      <c r="M72" s="1">
        <v>1</v>
      </c>
      <c r="N72" s="1">
        <v>2</v>
      </c>
      <c r="O72" s="1">
        <v>2</v>
      </c>
      <c r="P72" s="1">
        <v>1</v>
      </c>
      <c r="Q72" s="1">
        <v>3</v>
      </c>
      <c r="R72" s="1">
        <v>6</v>
      </c>
      <c r="S72" s="1" t="str">
        <f t="shared" si="19"/>
        <v>HIGH</v>
      </c>
      <c r="T72" s="3">
        <v>46210.443749999999</v>
      </c>
      <c r="U72" s="3">
        <v>46210.456944444442</v>
      </c>
      <c r="V72" s="1">
        <f t="shared" si="20"/>
        <v>19</v>
      </c>
      <c r="W72" s="1" t="str">
        <f t="shared" si="21"/>
        <v>BAD</v>
      </c>
      <c r="X72" s="1">
        <f t="shared" si="22"/>
        <v>25</v>
      </c>
      <c r="Y72" s="1">
        <v>4</v>
      </c>
      <c r="Z72" s="1">
        <v>1</v>
      </c>
      <c r="AA72" s="1">
        <v>2</v>
      </c>
      <c r="AB72" s="1" t="str">
        <f t="shared" si="23"/>
        <v>LOW</v>
      </c>
      <c r="AC72" s="1">
        <v>1</v>
      </c>
      <c r="AD72" s="1" t="str">
        <f t="shared" si="24"/>
        <v>Adopted</v>
      </c>
      <c r="AE72" s="1">
        <v>1</v>
      </c>
      <c r="AF72" s="1" t="str">
        <f t="shared" si="14"/>
        <v>Returned</v>
      </c>
      <c r="AG72" s="1">
        <v>1</v>
      </c>
      <c r="AH72" t="str">
        <f t="shared" si="25"/>
        <v>Success</v>
      </c>
      <c r="AI72">
        <f t="shared" si="26"/>
        <v>6</v>
      </c>
      <c r="AJ72" t="str">
        <f t="shared" si="27"/>
        <v>High</v>
      </c>
    </row>
    <row r="73" spans="1:36" ht="22.15" customHeight="1" x14ac:dyDescent="0.2">
      <c r="A73" s="1" t="s">
        <v>134</v>
      </c>
      <c r="B73" s="1">
        <v>8</v>
      </c>
      <c r="C73" s="1" t="str">
        <f t="shared" si="15"/>
        <v>PASS</v>
      </c>
      <c r="D73" s="1">
        <v>5</v>
      </c>
      <c r="E73" s="1" t="str">
        <f t="shared" si="16"/>
        <v>SATISFIED</v>
      </c>
      <c r="F73" s="1">
        <f t="shared" si="17"/>
        <v>52.5</v>
      </c>
      <c r="G73" s="1" t="str">
        <f t="shared" si="18"/>
        <v>NEED IMPROVEMENT</v>
      </c>
      <c r="H73" s="1">
        <v>3</v>
      </c>
      <c r="I73" s="1">
        <v>4</v>
      </c>
      <c r="J73" s="1">
        <v>3</v>
      </c>
      <c r="K73" s="1">
        <v>3</v>
      </c>
      <c r="L73" s="1">
        <v>3</v>
      </c>
      <c r="M73" s="1">
        <v>4</v>
      </c>
      <c r="N73" s="1">
        <v>4</v>
      </c>
      <c r="O73" s="1">
        <v>3</v>
      </c>
      <c r="P73" s="1">
        <v>4</v>
      </c>
      <c r="Q73" s="1">
        <v>2</v>
      </c>
      <c r="R73" s="1">
        <v>4</v>
      </c>
      <c r="S73" s="1" t="str">
        <f t="shared" si="19"/>
        <v>MODERATE</v>
      </c>
      <c r="T73" s="3">
        <v>46226.530555555553</v>
      </c>
      <c r="U73" s="3">
        <v>46226.535416666673</v>
      </c>
      <c r="V73" s="1">
        <f t="shared" si="20"/>
        <v>7</v>
      </c>
      <c r="W73" s="1" t="str">
        <f t="shared" si="21"/>
        <v>SATISFACTORY</v>
      </c>
      <c r="X73" s="1">
        <f t="shared" si="22"/>
        <v>33.333333333333329</v>
      </c>
      <c r="Y73" s="1">
        <v>6</v>
      </c>
      <c r="Z73" s="1">
        <v>2</v>
      </c>
      <c r="AA73" s="1">
        <v>10</v>
      </c>
      <c r="AB73" s="1" t="str">
        <f t="shared" si="23"/>
        <v>MEDIUM</v>
      </c>
      <c r="AC73" s="1">
        <v>1</v>
      </c>
      <c r="AD73" s="1" t="str">
        <f t="shared" si="24"/>
        <v>Adopted</v>
      </c>
      <c r="AE73" s="1">
        <v>1</v>
      </c>
      <c r="AF73" s="1" t="str">
        <f t="shared" si="14"/>
        <v>Returned</v>
      </c>
      <c r="AG73" s="1">
        <v>1</v>
      </c>
      <c r="AH73" t="str">
        <f t="shared" si="25"/>
        <v>Success</v>
      </c>
      <c r="AI73">
        <f t="shared" si="26"/>
        <v>3</v>
      </c>
      <c r="AJ73" t="str">
        <f t="shared" si="27"/>
        <v>Low</v>
      </c>
    </row>
    <row r="74" spans="1:36" ht="22.15" customHeight="1" x14ac:dyDescent="0.2">
      <c r="A74" s="1" t="s">
        <v>135</v>
      </c>
      <c r="B74" s="1">
        <v>2</v>
      </c>
      <c r="C74" s="1" t="str">
        <f t="shared" si="15"/>
        <v>DECTATOR</v>
      </c>
      <c r="D74" s="1">
        <v>2</v>
      </c>
      <c r="E74" s="1" t="str">
        <f t="shared" si="16"/>
        <v>NOT-SATISFIED</v>
      </c>
      <c r="F74" s="1">
        <f t="shared" si="17"/>
        <v>50</v>
      </c>
      <c r="G74" s="1" t="str">
        <f t="shared" si="18"/>
        <v>POOR</v>
      </c>
      <c r="H74" s="1">
        <v>1</v>
      </c>
      <c r="I74" s="1">
        <v>2</v>
      </c>
      <c r="J74" s="1">
        <v>1</v>
      </c>
      <c r="K74" s="1">
        <v>1</v>
      </c>
      <c r="L74" s="1">
        <v>1</v>
      </c>
      <c r="M74" s="1">
        <v>1</v>
      </c>
      <c r="N74" s="1">
        <v>2</v>
      </c>
      <c r="O74" s="1">
        <v>2</v>
      </c>
      <c r="P74" s="1">
        <v>2</v>
      </c>
      <c r="Q74" s="1">
        <v>1</v>
      </c>
      <c r="R74" s="1">
        <v>6</v>
      </c>
      <c r="S74" s="1" t="str">
        <f t="shared" si="19"/>
        <v>HIGH</v>
      </c>
      <c r="T74" s="3">
        <v>46220.48333333333</v>
      </c>
      <c r="U74" s="3">
        <v>46220.494444444441</v>
      </c>
      <c r="V74" s="1">
        <f t="shared" si="20"/>
        <v>16</v>
      </c>
      <c r="W74" s="1" t="str">
        <f t="shared" si="21"/>
        <v>BAD</v>
      </c>
      <c r="X74" s="1">
        <f t="shared" si="22"/>
        <v>16.666666666666664</v>
      </c>
      <c r="Y74" s="1">
        <v>6</v>
      </c>
      <c r="Z74" s="1">
        <v>1</v>
      </c>
      <c r="AA74" s="1">
        <v>1</v>
      </c>
      <c r="AB74" s="1" t="str">
        <f t="shared" si="23"/>
        <v>LOW</v>
      </c>
      <c r="AC74" s="1">
        <v>1</v>
      </c>
      <c r="AD74" s="1" t="str">
        <f t="shared" si="24"/>
        <v>Adopted</v>
      </c>
      <c r="AE74" s="1">
        <v>1</v>
      </c>
      <c r="AF74" s="1" t="str">
        <f t="shared" si="14"/>
        <v>Returned</v>
      </c>
      <c r="AG74" s="1">
        <v>1</v>
      </c>
      <c r="AH74" t="str">
        <f t="shared" si="25"/>
        <v>Success</v>
      </c>
      <c r="AI74">
        <f t="shared" si="26"/>
        <v>7</v>
      </c>
      <c r="AJ74" t="str">
        <f t="shared" si="27"/>
        <v>High</v>
      </c>
    </row>
    <row r="75" spans="1:36" ht="22.15" customHeight="1" x14ac:dyDescent="0.2">
      <c r="A75" s="1" t="s">
        <v>136</v>
      </c>
      <c r="B75" s="1">
        <v>6</v>
      </c>
      <c r="C75" s="1" t="str">
        <f t="shared" si="15"/>
        <v>DECTATOR</v>
      </c>
      <c r="D75" s="1">
        <v>3</v>
      </c>
      <c r="E75" s="1" t="str">
        <f t="shared" si="16"/>
        <v>NOT-SATISFIED</v>
      </c>
      <c r="F75" s="1">
        <f t="shared" si="17"/>
        <v>52.5</v>
      </c>
      <c r="G75" s="1" t="str">
        <f t="shared" si="18"/>
        <v>NEED IMPROVEMENT</v>
      </c>
      <c r="H75" s="1">
        <v>3</v>
      </c>
      <c r="I75" s="1">
        <v>3</v>
      </c>
      <c r="J75" s="1">
        <v>3</v>
      </c>
      <c r="K75" s="1">
        <v>3</v>
      </c>
      <c r="L75" s="1">
        <v>4</v>
      </c>
      <c r="M75" s="1">
        <v>2</v>
      </c>
      <c r="N75" s="1">
        <v>4</v>
      </c>
      <c r="O75" s="1">
        <v>3</v>
      </c>
      <c r="P75" s="1">
        <v>3</v>
      </c>
      <c r="Q75" s="1">
        <v>5</v>
      </c>
      <c r="R75" s="1">
        <v>4</v>
      </c>
      <c r="S75" s="1" t="str">
        <f t="shared" si="19"/>
        <v>MODERATE</v>
      </c>
      <c r="T75" s="3">
        <v>46219.345833333333</v>
      </c>
      <c r="U75" s="3">
        <v>46219.347916666673</v>
      </c>
      <c r="V75" s="1">
        <f t="shared" si="20"/>
        <v>3</v>
      </c>
      <c r="W75" s="1" t="str">
        <f t="shared" si="21"/>
        <v>GOOD</v>
      </c>
      <c r="X75" s="1">
        <f t="shared" si="22"/>
        <v>0</v>
      </c>
      <c r="Y75" s="1">
        <v>2</v>
      </c>
      <c r="Z75" s="1">
        <v>0</v>
      </c>
      <c r="AA75" s="1">
        <v>8</v>
      </c>
      <c r="AB75" s="1" t="str">
        <f t="shared" si="23"/>
        <v>MEDIUM</v>
      </c>
      <c r="AC75" s="1">
        <v>1</v>
      </c>
      <c r="AD75" s="1" t="str">
        <f t="shared" si="24"/>
        <v>Adopted</v>
      </c>
      <c r="AE75" s="1">
        <v>1</v>
      </c>
      <c r="AF75" s="1" t="str">
        <f t="shared" si="14"/>
        <v>Returned</v>
      </c>
      <c r="AG75" s="1">
        <v>0</v>
      </c>
      <c r="AH75" t="str">
        <f t="shared" si="25"/>
        <v>Fail</v>
      </c>
      <c r="AI75">
        <f t="shared" si="26"/>
        <v>4</v>
      </c>
      <c r="AJ75" t="str">
        <f t="shared" si="27"/>
        <v>Medium</v>
      </c>
    </row>
    <row r="76" spans="1:36" ht="22.15" customHeight="1" x14ac:dyDescent="0.2">
      <c r="A76" s="1" t="s">
        <v>137</v>
      </c>
      <c r="B76" s="1">
        <v>6</v>
      </c>
      <c r="C76" s="1" t="str">
        <f t="shared" si="15"/>
        <v>DECTATOR</v>
      </c>
      <c r="D76" s="1">
        <v>3</v>
      </c>
      <c r="E76" s="1" t="str">
        <f t="shared" si="16"/>
        <v>NOT-SATISFIED</v>
      </c>
      <c r="F76" s="1">
        <f t="shared" si="17"/>
        <v>47.5</v>
      </c>
      <c r="G76" s="1" t="str">
        <f t="shared" si="18"/>
        <v>POOR</v>
      </c>
      <c r="H76" s="1">
        <v>2</v>
      </c>
      <c r="I76" s="1">
        <v>1</v>
      </c>
      <c r="J76" s="1">
        <v>1</v>
      </c>
      <c r="K76" s="1">
        <v>2</v>
      </c>
      <c r="L76" s="1">
        <v>2</v>
      </c>
      <c r="M76" s="1">
        <v>2</v>
      </c>
      <c r="N76" s="1">
        <v>1</v>
      </c>
      <c r="O76" s="1">
        <v>2</v>
      </c>
      <c r="P76" s="1">
        <v>2</v>
      </c>
      <c r="Q76" s="1">
        <v>2</v>
      </c>
      <c r="R76" s="1">
        <v>5</v>
      </c>
      <c r="S76" s="1" t="str">
        <f t="shared" si="19"/>
        <v>MODERATE</v>
      </c>
      <c r="T76" s="3">
        <v>46204.34652777778</v>
      </c>
      <c r="U76" s="3">
        <v>46204.352777777778</v>
      </c>
      <c r="V76" s="1">
        <f t="shared" si="20"/>
        <v>9</v>
      </c>
      <c r="W76" s="1" t="str">
        <f t="shared" si="21"/>
        <v>SATISFACTORY</v>
      </c>
      <c r="X76" s="1">
        <f t="shared" si="22"/>
        <v>50</v>
      </c>
      <c r="Y76" s="1">
        <v>6</v>
      </c>
      <c r="Z76" s="1">
        <v>3</v>
      </c>
      <c r="AA76" s="1">
        <v>6</v>
      </c>
      <c r="AB76" s="1" t="str">
        <f t="shared" si="23"/>
        <v>LOW</v>
      </c>
      <c r="AC76" s="1">
        <v>1</v>
      </c>
      <c r="AD76" s="1" t="str">
        <f t="shared" si="24"/>
        <v>Adopted</v>
      </c>
      <c r="AE76" s="1">
        <v>0</v>
      </c>
      <c r="AF76" s="1" t="str">
        <f t="shared" si="14"/>
        <v>Not Returned</v>
      </c>
      <c r="AG76" s="1">
        <v>1</v>
      </c>
      <c r="AH76" t="str">
        <f t="shared" si="25"/>
        <v>Success</v>
      </c>
      <c r="AI76">
        <f t="shared" si="26"/>
        <v>6</v>
      </c>
      <c r="AJ76" t="str">
        <f t="shared" si="27"/>
        <v>High</v>
      </c>
    </row>
    <row r="77" spans="1:36" ht="22.15" customHeight="1" x14ac:dyDescent="0.2">
      <c r="A77" s="1" t="s">
        <v>138</v>
      </c>
      <c r="B77" s="1">
        <v>7</v>
      </c>
      <c r="C77" s="1" t="str">
        <f t="shared" si="15"/>
        <v>PASS</v>
      </c>
      <c r="D77" s="1">
        <v>2</v>
      </c>
      <c r="E77" s="1" t="str">
        <f t="shared" si="16"/>
        <v>NOT-SATISFIED</v>
      </c>
      <c r="F77" s="1">
        <f t="shared" si="17"/>
        <v>55</v>
      </c>
      <c r="G77" s="1" t="str">
        <f t="shared" si="18"/>
        <v>NEED IMPROVEMENT</v>
      </c>
      <c r="H77" s="1">
        <v>3</v>
      </c>
      <c r="I77" s="1">
        <v>2</v>
      </c>
      <c r="J77" s="1">
        <v>2</v>
      </c>
      <c r="K77" s="1">
        <v>2</v>
      </c>
      <c r="L77" s="1">
        <v>1</v>
      </c>
      <c r="M77" s="1">
        <v>2</v>
      </c>
      <c r="N77" s="1">
        <v>3</v>
      </c>
      <c r="O77" s="1">
        <v>2</v>
      </c>
      <c r="P77" s="1">
        <v>3</v>
      </c>
      <c r="Q77" s="1">
        <v>2</v>
      </c>
      <c r="R77" s="1">
        <v>5</v>
      </c>
      <c r="S77" s="1" t="str">
        <f t="shared" si="19"/>
        <v>MODERATE</v>
      </c>
      <c r="T77" s="3">
        <v>46208.679166666669</v>
      </c>
      <c r="U77" s="3">
        <v>46208.684027777781</v>
      </c>
      <c r="V77" s="1">
        <f t="shared" si="20"/>
        <v>7</v>
      </c>
      <c r="W77" s="1" t="str">
        <f t="shared" si="21"/>
        <v>SATISFACTORY</v>
      </c>
      <c r="X77" s="1">
        <f t="shared" si="22"/>
        <v>16.666666666666664</v>
      </c>
      <c r="Y77" s="1">
        <v>6</v>
      </c>
      <c r="Z77" s="1">
        <v>1</v>
      </c>
      <c r="AA77" s="1">
        <v>9</v>
      </c>
      <c r="AB77" s="1" t="str">
        <f t="shared" si="23"/>
        <v>MEDIUM</v>
      </c>
      <c r="AC77" s="1">
        <v>0</v>
      </c>
      <c r="AD77" s="1" t="str">
        <f t="shared" si="24"/>
        <v>NOt Adopted</v>
      </c>
      <c r="AE77" s="1">
        <v>1</v>
      </c>
      <c r="AF77" s="1" t="str">
        <f t="shared" si="14"/>
        <v>Returned</v>
      </c>
      <c r="AG77" s="1">
        <v>1</v>
      </c>
      <c r="AH77" t="str">
        <f t="shared" si="25"/>
        <v>Success</v>
      </c>
      <c r="AI77">
        <f t="shared" si="26"/>
        <v>4</v>
      </c>
      <c r="AJ77" t="str">
        <f t="shared" si="27"/>
        <v>Medium</v>
      </c>
    </row>
    <row r="78" spans="1:36" ht="22.15" customHeight="1" x14ac:dyDescent="0.2">
      <c r="A78" s="1" t="s">
        <v>139</v>
      </c>
      <c r="B78" s="1">
        <v>8</v>
      </c>
      <c r="C78" s="1" t="str">
        <f t="shared" si="15"/>
        <v>PASS</v>
      </c>
      <c r="D78" s="1">
        <v>3</v>
      </c>
      <c r="E78" s="1" t="str">
        <f t="shared" si="16"/>
        <v>NOT-SATISFIED</v>
      </c>
      <c r="F78" s="1">
        <f t="shared" si="17"/>
        <v>45</v>
      </c>
      <c r="G78" s="1" t="str">
        <f t="shared" si="18"/>
        <v>POOR</v>
      </c>
      <c r="H78" s="1">
        <v>4</v>
      </c>
      <c r="I78" s="1">
        <v>4</v>
      </c>
      <c r="J78" s="1">
        <v>3</v>
      </c>
      <c r="K78" s="1">
        <v>3</v>
      </c>
      <c r="L78" s="1">
        <v>3</v>
      </c>
      <c r="M78" s="1">
        <v>4</v>
      </c>
      <c r="N78" s="1">
        <v>2</v>
      </c>
      <c r="O78" s="1">
        <v>4</v>
      </c>
      <c r="P78" s="1">
        <v>3</v>
      </c>
      <c r="Q78" s="1">
        <v>2</v>
      </c>
      <c r="R78" s="1">
        <v>3</v>
      </c>
      <c r="S78" s="1" t="str">
        <f t="shared" si="19"/>
        <v>LOW</v>
      </c>
      <c r="T78" s="3">
        <v>46213.59097222222</v>
      </c>
      <c r="U78" s="3">
        <v>46213.597916666673</v>
      </c>
      <c r="V78" s="1">
        <f t="shared" si="20"/>
        <v>10</v>
      </c>
      <c r="W78" s="1" t="str">
        <f t="shared" si="21"/>
        <v>SATISFACTORY</v>
      </c>
      <c r="X78" s="1">
        <f t="shared" si="22"/>
        <v>0</v>
      </c>
      <c r="Y78" s="1">
        <v>3</v>
      </c>
      <c r="Z78" s="1">
        <v>0</v>
      </c>
      <c r="AA78" s="1">
        <v>7</v>
      </c>
      <c r="AB78" s="1" t="str">
        <f t="shared" si="23"/>
        <v>MEDIUM</v>
      </c>
      <c r="AC78" s="1">
        <v>1</v>
      </c>
      <c r="AD78" s="1" t="str">
        <f t="shared" si="24"/>
        <v>Adopted</v>
      </c>
      <c r="AE78" s="1">
        <v>0</v>
      </c>
      <c r="AF78" s="1" t="str">
        <f t="shared" si="14"/>
        <v>Not Returned</v>
      </c>
      <c r="AG78" s="1">
        <v>1</v>
      </c>
      <c r="AH78" t="str">
        <f t="shared" si="25"/>
        <v>Success</v>
      </c>
      <c r="AI78">
        <f t="shared" si="26"/>
        <v>3</v>
      </c>
      <c r="AJ78" t="str">
        <f t="shared" si="27"/>
        <v>Low</v>
      </c>
    </row>
    <row r="79" spans="1:36" ht="22.15" customHeight="1" x14ac:dyDescent="0.2">
      <c r="A79" s="1" t="s">
        <v>140</v>
      </c>
      <c r="B79" s="1">
        <v>4</v>
      </c>
      <c r="C79" s="1" t="str">
        <f t="shared" si="15"/>
        <v>DECTATOR</v>
      </c>
      <c r="D79" s="1">
        <v>3</v>
      </c>
      <c r="E79" s="1" t="str">
        <f t="shared" si="16"/>
        <v>NOT-SATISFIED</v>
      </c>
      <c r="F79" s="1">
        <f t="shared" si="17"/>
        <v>45</v>
      </c>
      <c r="G79" s="1" t="str">
        <f t="shared" si="18"/>
        <v>POOR</v>
      </c>
      <c r="H79" s="1">
        <v>3</v>
      </c>
      <c r="I79" s="1">
        <v>3</v>
      </c>
      <c r="J79" s="1">
        <v>1</v>
      </c>
      <c r="K79" s="1">
        <v>3</v>
      </c>
      <c r="L79" s="1">
        <v>2</v>
      </c>
      <c r="M79" s="1">
        <v>2</v>
      </c>
      <c r="N79" s="1">
        <v>2</v>
      </c>
      <c r="O79" s="1">
        <v>1</v>
      </c>
      <c r="P79" s="1">
        <v>1</v>
      </c>
      <c r="Q79" s="1">
        <v>2</v>
      </c>
      <c r="R79" s="1">
        <v>6</v>
      </c>
      <c r="S79" s="1" t="str">
        <f t="shared" si="19"/>
        <v>HIGH</v>
      </c>
      <c r="T79" s="3">
        <v>46228.740277777782</v>
      </c>
      <c r="U79" s="3">
        <v>46228.75</v>
      </c>
      <c r="V79" s="1">
        <f t="shared" si="20"/>
        <v>14</v>
      </c>
      <c r="W79" s="1" t="str">
        <f t="shared" si="21"/>
        <v>BAD</v>
      </c>
      <c r="X79" s="1">
        <f t="shared" si="22"/>
        <v>60</v>
      </c>
      <c r="Y79" s="1">
        <v>5</v>
      </c>
      <c r="Z79" s="1">
        <v>3</v>
      </c>
      <c r="AA79" s="1">
        <v>1</v>
      </c>
      <c r="AB79" s="1" t="str">
        <f t="shared" si="23"/>
        <v>LOW</v>
      </c>
      <c r="AC79" s="1">
        <v>1</v>
      </c>
      <c r="AD79" s="1" t="str">
        <f t="shared" si="24"/>
        <v>Adopted</v>
      </c>
      <c r="AE79" s="1">
        <v>0</v>
      </c>
      <c r="AF79" s="1" t="str">
        <f>IF(AE79=0,"Not Returned",IF(AE79=1,"Returned"))</f>
        <v>Not Returned</v>
      </c>
      <c r="AG79" s="1">
        <v>0</v>
      </c>
      <c r="AH79" t="str">
        <f t="shared" si="25"/>
        <v>Fail</v>
      </c>
      <c r="AI79">
        <f t="shared" si="26"/>
        <v>8</v>
      </c>
      <c r="AJ79" t="str">
        <f t="shared" si="27"/>
        <v>High</v>
      </c>
    </row>
    <row r="80" spans="1:36" ht="22.15" customHeight="1" x14ac:dyDescent="0.2">
      <c r="A80" s="1" t="s">
        <v>141</v>
      </c>
      <c r="B80" s="1">
        <v>5</v>
      </c>
      <c r="C80" s="1" t="str">
        <f t="shared" si="15"/>
        <v>DECTATOR</v>
      </c>
      <c r="D80" s="1">
        <v>3</v>
      </c>
      <c r="E80" s="1" t="str">
        <f t="shared" si="16"/>
        <v>NOT-SATISFIED</v>
      </c>
      <c r="F80" s="1">
        <f t="shared" si="17"/>
        <v>42.5</v>
      </c>
      <c r="G80" s="1" t="str">
        <f t="shared" si="18"/>
        <v>POOR</v>
      </c>
      <c r="H80" s="1">
        <v>3</v>
      </c>
      <c r="I80" s="1">
        <v>4</v>
      </c>
      <c r="J80" s="1">
        <v>3</v>
      </c>
      <c r="K80" s="1">
        <v>4</v>
      </c>
      <c r="L80" s="1">
        <v>2</v>
      </c>
      <c r="M80" s="1">
        <v>3</v>
      </c>
      <c r="N80" s="1">
        <v>3</v>
      </c>
      <c r="O80" s="1">
        <v>4</v>
      </c>
      <c r="P80" s="1">
        <v>4</v>
      </c>
      <c r="Q80" s="1">
        <v>3</v>
      </c>
      <c r="R80" s="1">
        <v>3</v>
      </c>
      <c r="S80" s="1" t="str">
        <f t="shared" si="19"/>
        <v>LOW</v>
      </c>
      <c r="T80" s="3">
        <v>46229.658333333333</v>
      </c>
      <c r="U80" s="3">
        <v>46229.667361111111</v>
      </c>
      <c r="V80" s="1">
        <f t="shared" si="20"/>
        <v>13</v>
      </c>
      <c r="W80" s="1" t="str">
        <f t="shared" si="21"/>
        <v>BAD</v>
      </c>
      <c r="X80" s="1">
        <f t="shared" si="22"/>
        <v>0</v>
      </c>
      <c r="Y80" s="1">
        <v>2</v>
      </c>
      <c r="Z80" s="1">
        <v>0</v>
      </c>
      <c r="AA80" s="1">
        <v>5</v>
      </c>
      <c r="AB80" s="1" t="str">
        <f t="shared" si="23"/>
        <v>LOW</v>
      </c>
      <c r="AC80" s="1">
        <v>1</v>
      </c>
      <c r="AD80" s="1" t="str">
        <f t="shared" si="24"/>
        <v>Adopted</v>
      </c>
      <c r="AE80" s="1">
        <v>1</v>
      </c>
      <c r="AF80" s="1" t="str">
        <f t="shared" ref="AF80:AF101" si="28">IF(AE80=0,"Not Returned",IF(AE80=1,"Returned"))</f>
        <v>Returned</v>
      </c>
      <c r="AG80" s="1">
        <v>0</v>
      </c>
      <c r="AH80" t="str">
        <f t="shared" si="25"/>
        <v>Fail</v>
      </c>
      <c r="AI80">
        <f t="shared" si="26"/>
        <v>4</v>
      </c>
      <c r="AJ80" t="str">
        <f t="shared" si="27"/>
        <v>Medium</v>
      </c>
    </row>
    <row r="81" spans="1:36" ht="22.15" customHeight="1" x14ac:dyDescent="0.2">
      <c r="A81" s="1" t="s">
        <v>142</v>
      </c>
      <c r="B81" s="1">
        <v>6</v>
      </c>
      <c r="C81" s="1" t="str">
        <f t="shared" si="15"/>
        <v>DECTATOR</v>
      </c>
      <c r="D81" s="1">
        <v>3</v>
      </c>
      <c r="E81" s="1" t="str">
        <f t="shared" si="16"/>
        <v>NOT-SATISFIED</v>
      </c>
      <c r="F81" s="1">
        <f t="shared" si="17"/>
        <v>50</v>
      </c>
      <c r="G81" s="1" t="str">
        <f t="shared" si="18"/>
        <v>POOR</v>
      </c>
      <c r="H81" s="1">
        <v>3</v>
      </c>
      <c r="I81" s="1">
        <v>2</v>
      </c>
      <c r="J81" s="1">
        <v>4</v>
      </c>
      <c r="K81" s="1">
        <v>2</v>
      </c>
      <c r="L81" s="1">
        <v>3</v>
      </c>
      <c r="M81" s="1">
        <v>3</v>
      </c>
      <c r="N81" s="1">
        <v>3</v>
      </c>
      <c r="O81" s="1">
        <v>4</v>
      </c>
      <c r="P81" s="1">
        <v>1</v>
      </c>
      <c r="Q81" s="1">
        <v>3</v>
      </c>
      <c r="R81" s="1">
        <v>4</v>
      </c>
      <c r="S81" s="1" t="str">
        <f t="shared" si="19"/>
        <v>MODERATE</v>
      </c>
      <c r="T81" s="3">
        <v>46209.548611111109</v>
      </c>
      <c r="U81" s="3">
        <v>46209.553472222222</v>
      </c>
      <c r="V81" s="1">
        <f t="shared" si="20"/>
        <v>7</v>
      </c>
      <c r="W81" s="1" t="str">
        <f t="shared" si="21"/>
        <v>SATISFACTORY</v>
      </c>
      <c r="X81" s="1">
        <f t="shared" si="22"/>
        <v>16.666666666666664</v>
      </c>
      <c r="Y81" s="1">
        <v>6</v>
      </c>
      <c r="Z81" s="1">
        <v>1</v>
      </c>
      <c r="AA81" s="1">
        <v>8</v>
      </c>
      <c r="AB81" s="1" t="str">
        <f t="shared" si="23"/>
        <v>MEDIUM</v>
      </c>
      <c r="AC81" s="1">
        <v>1</v>
      </c>
      <c r="AD81" s="1" t="str">
        <f t="shared" si="24"/>
        <v>Adopted</v>
      </c>
      <c r="AE81" s="1">
        <v>0</v>
      </c>
      <c r="AF81" s="1" t="str">
        <f t="shared" si="28"/>
        <v>Not Returned</v>
      </c>
      <c r="AG81" s="1">
        <v>1</v>
      </c>
      <c r="AH81" t="str">
        <f t="shared" si="25"/>
        <v>Success</v>
      </c>
      <c r="AI81">
        <f t="shared" si="26"/>
        <v>5</v>
      </c>
      <c r="AJ81" t="str">
        <f t="shared" si="27"/>
        <v>Medium</v>
      </c>
    </row>
    <row r="82" spans="1:36" ht="22.15" customHeight="1" x14ac:dyDescent="0.2">
      <c r="A82" s="1" t="s">
        <v>143</v>
      </c>
      <c r="B82" s="1">
        <v>10</v>
      </c>
      <c r="C82" s="1" t="str">
        <f t="shared" si="15"/>
        <v>PROM</v>
      </c>
      <c r="D82" s="1">
        <v>5</v>
      </c>
      <c r="E82" s="1" t="str">
        <f t="shared" si="16"/>
        <v>SATISFIED</v>
      </c>
      <c r="F82" s="1">
        <f t="shared" si="17"/>
        <v>55</v>
      </c>
      <c r="G82" s="1" t="str">
        <f t="shared" si="18"/>
        <v>NEED IMPROVEMENT</v>
      </c>
      <c r="H82" s="1">
        <v>5</v>
      </c>
      <c r="I82" s="1">
        <v>5</v>
      </c>
      <c r="J82" s="1">
        <v>4</v>
      </c>
      <c r="K82" s="1">
        <v>4</v>
      </c>
      <c r="L82" s="1">
        <v>3</v>
      </c>
      <c r="M82" s="1">
        <v>3</v>
      </c>
      <c r="N82" s="1">
        <v>5</v>
      </c>
      <c r="O82" s="1">
        <v>4</v>
      </c>
      <c r="P82" s="1">
        <v>5</v>
      </c>
      <c r="Q82" s="1">
        <v>4</v>
      </c>
      <c r="R82" s="1">
        <v>2</v>
      </c>
      <c r="S82" s="1" t="str">
        <f t="shared" si="19"/>
        <v>LOW</v>
      </c>
      <c r="T82" s="3">
        <v>46217.334027777782</v>
      </c>
      <c r="U82" s="3">
        <v>46217.335416666669</v>
      </c>
      <c r="V82" s="1">
        <f t="shared" si="20"/>
        <v>2</v>
      </c>
      <c r="W82" s="1" t="str">
        <f t="shared" si="21"/>
        <v>GOOD</v>
      </c>
      <c r="X82" s="1">
        <f t="shared" si="22"/>
        <v>33.333333333333329</v>
      </c>
      <c r="Y82" s="1">
        <v>3</v>
      </c>
      <c r="Z82" s="1">
        <v>1</v>
      </c>
      <c r="AA82" s="1">
        <v>8</v>
      </c>
      <c r="AB82" s="1" t="str">
        <f t="shared" si="23"/>
        <v>MEDIUM</v>
      </c>
      <c r="AC82" s="1">
        <v>1</v>
      </c>
      <c r="AD82" s="1" t="str">
        <f t="shared" si="24"/>
        <v>Adopted</v>
      </c>
      <c r="AE82" s="1">
        <v>1</v>
      </c>
      <c r="AF82" s="1" t="str">
        <f t="shared" si="28"/>
        <v>Returned</v>
      </c>
      <c r="AG82" s="1">
        <v>1</v>
      </c>
      <c r="AH82" t="str">
        <f t="shared" si="25"/>
        <v>Success</v>
      </c>
      <c r="AI82">
        <f t="shared" si="26"/>
        <v>2</v>
      </c>
      <c r="AJ82" t="str">
        <f t="shared" si="27"/>
        <v>Low</v>
      </c>
    </row>
    <row r="83" spans="1:36" ht="22.15" customHeight="1" x14ac:dyDescent="0.2">
      <c r="A83" s="1" t="s">
        <v>144</v>
      </c>
      <c r="B83" s="1">
        <v>5</v>
      </c>
      <c r="C83" s="1" t="str">
        <f t="shared" si="15"/>
        <v>DECTATOR</v>
      </c>
      <c r="D83" s="1">
        <v>3</v>
      </c>
      <c r="E83" s="1" t="str">
        <f t="shared" si="16"/>
        <v>NOT-SATISFIED</v>
      </c>
      <c r="F83" s="1">
        <f t="shared" si="17"/>
        <v>55</v>
      </c>
      <c r="G83" s="1" t="str">
        <f t="shared" si="18"/>
        <v>NEED IMPROVEMENT</v>
      </c>
      <c r="H83" s="1">
        <v>2</v>
      </c>
      <c r="I83" s="1">
        <v>2</v>
      </c>
      <c r="J83" s="1">
        <v>3</v>
      </c>
      <c r="K83" s="1">
        <v>2</v>
      </c>
      <c r="L83" s="1">
        <v>3</v>
      </c>
      <c r="M83" s="1">
        <v>1</v>
      </c>
      <c r="N83" s="1">
        <v>1</v>
      </c>
      <c r="O83" s="1">
        <v>2</v>
      </c>
      <c r="P83" s="1">
        <v>3</v>
      </c>
      <c r="Q83" s="1">
        <v>3</v>
      </c>
      <c r="R83" s="1">
        <v>4</v>
      </c>
      <c r="S83" s="1" t="str">
        <f t="shared" si="19"/>
        <v>MODERATE</v>
      </c>
      <c r="T83" s="3">
        <v>46231.783333333333</v>
      </c>
      <c r="U83" s="3">
        <v>46231.790277777778</v>
      </c>
      <c r="V83" s="1">
        <f t="shared" si="20"/>
        <v>10</v>
      </c>
      <c r="W83" s="1" t="str">
        <f t="shared" si="21"/>
        <v>SATISFACTORY</v>
      </c>
      <c r="X83" s="1">
        <f t="shared" si="22"/>
        <v>14.285714285714285</v>
      </c>
      <c r="Y83" s="1">
        <v>7</v>
      </c>
      <c r="Z83" s="1">
        <v>1</v>
      </c>
      <c r="AA83" s="1">
        <v>3</v>
      </c>
      <c r="AB83" s="1" t="str">
        <f t="shared" si="23"/>
        <v>LOW</v>
      </c>
      <c r="AC83" s="1">
        <v>1</v>
      </c>
      <c r="AD83" s="1" t="str">
        <f t="shared" si="24"/>
        <v>Adopted</v>
      </c>
      <c r="AE83" s="1">
        <v>0</v>
      </c>
      <c r="AF83" s="1" t="str">
        <f t="shared" si="28"/>
        <v>Not Returned</v>
      </c>
      <c r="AG83" s="1">
        <v>0</v>
      </c>
      <c r="AH83" t="str">
        <f t="shared" si="25"/>
        <v>Fail</v>
      </c>
      <c r="AI83">
        <f t="shared" si="26"/>
        <v>6</v>
      </c>
      <c r="AJ83" t="str">
        <f t="shared" si="27"/>
        <v>High</v>
      </c>
    </row>
    <row r="84" spans="1:36" ht="22.15" customHeight="1" x14ac:dyDescent="0.2">
      <c r="A84" s="1" t="s">
        <v>145</v>
      </c>
      <c r="B84" s="1">
        <v>9</v>
      </c>
      <c r="C84" s="1" t="str">
        <f t="shared" si="15"/>
        <v>PROM</v>
      </c>
      <c r="D84" s="1">
        <v>5</v>
      </c>
      <c r="E84" s="1" t="str">
        <f t="shared" si="16"/>
        <v>SATISFIED</v>
      </c>
      <c r="F84" s="1">
        <f t="shared" si="17"/>
        <v>47.5</v>
      </c>
      <c r="G84" s="1" t="str">
        <f t="shared" si="18"/>
        <v>POOR</v>
      </c>
      <c r="H84" s="1">
        <v>4</v>
      </c>
      <c r="I84" s="1">
        <v>4</v>
      </c>
      <c r="J84" s="1">
        <v>4</v>
      </c>
      <c r="K84" s="1">
        <v>5</v>
      </c>
      <c r="L84" s="1">
        <v>4</v>
      </c>
      <c r="M84" s="1">
        <v>4</v>
      </c>
      <c r="N84" s="1">
        <v>4</v>
      </c>
      <c r="O84" s="1">
        <v>4</v>
      </c>
      <c r="P84" s="1">
        <v>5</v>
      </c>
      <c r="Q84" s="1">
        <v>5</v>
      </c>
      <c r="R84" s="1">
        <v>4</v>
      </c>
      <c r="S84" s="1" t="str">
        <f t="shared" si="19"/>
        <v>MODERATE</v>
      </c>
      <c r="T84" s="3">
        <v>46204.484027777777</v>
      </c>
      <c r="U84" s="3">
        <v>46204.488888888889</v>
      </c>
      <c r="V84" s="1">
        <f t="shared" si="20"/>
        <v>7</v>
      </c>
      <c r="W84" s="1" t="str">
        <f t="shared" si="21"/>
        <v>SATISFACTORY</v>
      </c>
      <c r="X84" s="1">
        <f t="shared" si="22"/>
        <v>0</v>
      </c>
      <c r="Y84" s="1">
        <v>5</v>
      </c>
      <c r="Z84" s="1">
        <v>0</v>
      </c>
      <c r="AA84" s="1">
        <v>12</v>
      </c>
      <c r="AB84" s="1" t="str">
        <f t="shared" si="23"/>
        <v>HIGH</v>
      </c>
      <c r="AC84" s="1">
        <v>1</v>
      </c>
      <c r="AD84" s="1" t="str">
        <f t="shared" si="24"/>
        <v>Adopted</v>
      </c>
      <c r="AE84" s="1">
        <v>1</v>
      </c>
      <c r="AF84" s="1" t="str">
        <f t="shared" si="28"/>
        <v>Returned</v>
      </c>
      <c r="AG84" s="1">
        <v>1</v>
      </c>
      <c r="AH84" t="str">
        <f t="shared" si="25"/>
        <v>Success</v>
      </c>
      <c r="AI84">
        <f t="shared" si="26"/>
        <v>1</v>
      </c>
      <c r="AJ84" t="str">
        <f t="shared" si="27"/>
        <v>Low</v>
      </c>
    </row>
    <row r="85" spans="1:36" ht="22.15" customHeight="1" x14ac:dyDescent="0.2">
      <c r="A85" s="1" t="s">
        <v>146</v>
      </c>
      <c r="B85" s="1">
        <v>5</v>
      </c>
      <c r="C85" s="1" t="str">
        <f t="shared" si="15"/>
        <v>DECTATOR</v>
      </c>
      <c r="D85" s="1">
        <v>2</v>
      </c>
      <c r="E85" s="1" t="str">
        <f t="shared" si="16"/>
        <v>NOT-SATISFIED</v>
      </c>
      <c r="F85" s="1">
        <f t="shared" si="17"/>
        <v>57.5</v>
      </c>
      <c r="G85" s="1" t="str">
        <f t="shared" si="18"/>
        <v>NEED IMPROVEMENT</v>
      </c>
      <c r="H85" s="1">
        <v>3</v>
      </c>
      <c r="I85" s="1">
        <v>2</v>
      </c>
      <c r="J85" s="1">
        <v>3</v>
      </c>
      <c r="K85" s="1">
        <v>2</v>
      </c>
      <c r="L85" s="1">
        <v>3</v>
      </c>
      <c r="M85" s="1">
        <v>2</v>
      </c>
      <c r="N85" s="1">
        <v>2</v>
      </c>
      <c r="O85" s="1">
        <v>1</v>
      </c>
      <c r="P85" s="1">
        <v>1</v>
      </c>
      <c r="Q85" s="1">
        <v>2</v>
      </c>
      <c r="R85" s="1">
        <v>6</v>
      </c>
      <c r="S85" s="1" t="str">
        <f t="shared" si="19"/>
        <v>HIGH</v>
      </c>
      <c r="T85" s="3">
        <v>46229.646527777782</v>
      </c>
      <c r="U85" s="3">
        <v>46229.658333333333</v>
      </c>
      <c r="V85" s="1">
        <f t="shared" si="20"/>
        <v>17</v>
      </c>
      <c r="W85" s="1" t="str">
        <f t="shared" si="21"/>
        <v>BAD</v>
      </c>
      <c r="X85" s="1">
        <f t="shared" si="22"/>
        <v>33.333333333333329</v>
      </c>
      <c r="Y85" s="1">
        <v>6</v>
      </c>
      <c r="Z85" s="1">
        <v>2</v>
      </c>
      <c r="AA85" s="1">
        <v>6</v>
      </c>
      <c r="AB85" s="1" t="str">
        <f t="shared" si="23"/>
        <v>LOW</v>
      </c>
      <c r="AC85" s="1">
        <v>1</v>
      </c>
      <c r="AD85" s="1" t="str">
        <f t="shared" si="24"/>
        <v>Adopted</v>
      </c>
      <c r="AE85" s="1">
        <v>1</v>
      </c>
      <c r="AF85" s="1" t="str">
        <f t="shared" si="28"/>
        <v>Returned</v>
      </c>
      <c r="AG85" s="1">
        <v>1</v>
      </c>
      <c r="AH85" t="str">
        <f t="shared" si="25"/>
        <v>Success</v>
      </c>
      <c r="AI85">
        <f t="shared" si="26"/>
        <v>7</v>
      </c>
      <c r="AJ85" t="str">
        <f t="shared" si="27"/>
        <v>High</v>
      </c>
    </row>
    <row r="86" spans="1:36" ht="22.15" customHeight="1" x14ac:dyDescent="0.2">
      <c r="A86" s="1" t="s">
        <v>147</v>
      </c>
      <c r="B86" s="1">
        <v>6</v>
      </c>
      <c r="C86" s="1" t="str">
        <f t="shared" si="15"/>
        <v>DECTATOR</v>
      </c>
      <c r="D86" s="1">
        <v>3</v>
      </c>
      <c r="E86" s="1" t="str">
        <f t="shared" si="16"/>
        <v>NOT-SATISFIED</v>
      </c>
      <c r="F86" s="1">
        <f t="shared" si="17"/>
        <v>50</v>
      </c>
      <c r="G86" s="1" t="str">
        <f t="shared" si="18"/>
        <v>POOR</v>
      </c>
      <c r="H86" s="1">
        <v>2</v>
      </c>
      <c r="I86" s="1">
        <v>3</v>
      </c>
      <c r="J86" s="1">
        <v>3</v>
      </c>
      <c r="K86" s="1">
        <v>2</v>
      </c>
      <c r="L86" s="1">
        <v>2</v>
      </c>
      <c r="M86" s="1">
        <v>2</v>
      </c>
      <c r="N86" s="1">
        <v>3</v>
      </c>
      <c r="O86" s="1">
        <v>3</v>
      </c>
      <c r="P86" s="1">
        <v>2</v>
      </c>
      <c r="Q86" s="1">
        <v>2</v>
      </c>
      <c r="R86" s="1">
        <v>6</v>
      </c>
      <c r="S86" s="1" t="str">
        <f t="shared" si="19"/>
        <v>HIGH</v>
      </c>
      <c r="T86" s="3">
        <v>46207.336805555547</v>
      </c>
      <c r="U86" s="3">
        <v>46207.345138888893</v>
      </c>
      <c r="V86" s="1">
        <f t="shared" si="20"/>
        <v>12</v>
      </c>
      <c r="W86" s="1" t="str">
        <f t="shared" si="21"/>
        <v>BAD</v>
      </c>
      <c r="X86" s="1">
        <f t="shared" si="22"/>
        <v>50</v>
      </c>
      <c r="Y86" s="1">
        <v>6</v>
      </c>
      <c r="Z86" s="1">
        <v>3</v>
      </c>
      <c r="AA86" s="1">
        <v>8</v>
      </c>
      <c r="AB86" s="1" t="str">
        <f t="shared" si="23"/>
        <v>MEDIUM</v>
      </c>
      <c r="AC86" s="1">
        <v>0</v>
      </c>
      <c r="AD86" s="1" t="str">
        <f t="shared" si="24"/>
        <v>NOt Adopted</v>
      </c>
      <c r="AE86" s="1">
        <v>1</v>
      </c>
      <c r="AF86" s="1" t="str">
        <f t="shared" si="28"/>
        <v>Returned</v>
      </c>
      <c r="AG86" s="1">
        <v>1</v>
      </c>
      <c r="AH86" t="str">
        <f t="shared" si="25"/>
        <v>Success</v>
      </c>
      <c r="AI86">
        <f t="shared" si="26"/>
        <v>7</v>
      </c>
      <c r="AJ86" t="str">
        <f t="shared" si="27"/>
        <v>High</v>
      </c>
    </row>
    <row r="87" spans="1:36" ht="22.15" customHeight="1" x14ac:dyDescent="0.2">
      <c r="A87" s="1" t="s">
        <v>148</v>
      </c>
      <c r="B87" s="1">
        <v>4</v>
      </c>
      <c r="C87" s="1" t="str">
        <f t="shared" si="15"/>
        <v>DECTATOR</v>
      </c>
      <c r="D87" s="1">
        <v>3</v>
      </c>
      <c r="E87" s="1" t="str">
        <f t="shared" si="16"/>
        <v>NOT-SATISFIED</v>
      </c>
      <c r="F87" s="1">
        <f t="shared" si="17"/>
        <v>57.5</v>
      </c>
      <c r="G87" s="1" t="str">
        <f t="shared" si="18"/>
        <v>NEED IMPROVEMENT</v>
      </c>
      <c r="H87" s="1">
        <v>3</v>
      </c>
      <c r="I87" s="1">
        <v>3</v>
      </c>
      <c r="J87" s="1">
        <v>3</v>
      </c>
      <c r="K87" s="1">
        <v>2</v>
      </c>
      <c r="L87" s="1">
        <v>3</v>
      </c>
      <c r="M87" s="1">
        <v>3</v>
      </c>
      <c r="N87" s="1">
        <v>3</v>
      </c>
      <c r="O87" s="1">
        <v>2</v>
      </c>
      <c r="P87" s="1">
        <v>3</v>
      </c>
      <c r="Q87" s="1">
        <v>2</v>
      </c>
      <c r="R87" s="1">
        <v>5</v>
      </c>
      <c r="S87" s="1" t="str">
        <f t="shared" si="19"/>
        <v>MODERATE</v>
      </c>
      <c r="T87" s="3">
        <v>46207.429861111108</v>
      </c>
      <c r="U87" s="3">
        <v>46207.438194444447</v>
      </c>
      <c r="V87" s="1">
        <f t="shared" si="20"/>
        <v>12</v>
      </c>
      <c r="W87" s="1" t="str">
        <f t="shared" si="21"/>
        <v>BAD</v>
      </c>
      <c r="X87" s="1">
        <f t="shared" si="22"/>
        <v>0</v>
      </c>
      <c r="Y87" s="1">
        <v>7</v>
      </c>
      <c r="Z87" s="1">
        <v>0</v>
      </c>
      <c r="AA87" s="1">
        <v>4</v>
      </c>
      <c r="AB87" s="1" t="str">
        <f t="shared" si="23"/>
        <v>LOW</v>
      </c>
      <c r="AC87" s="1">
        <v>1</v>
      </c>
      <c r="AD87" s="1" t="str">
        <f t="shared" si="24"/>
        <v>Adopted</v>
      </c>
      <c r="AE87" s="1">
        <v>1</v>
      </c>
      <c r="AF87" s="1" t="str">
        <f t="shared" si="28"/>
        <v>Returned</v>
      </c>
      <c r="AG87" s="1">
        <v>1</v>
      </c>
      <c r="AH87" t="str">
        <f t="shared" si="25"/>
        <v>Success</v>
      </c>
      <c r="AI87">
        <f t="shared" si="26"/>
        <v>4</v>
      </c>
      <c r="AJ87" t="str">
        <f t="shared" si="27"/>
        <v>Medium</v>
      </c>
    </row>
    <row r="88" spans="1:36" ht="22.15" customHeight="1" x14ac:dyDescent="0.2">
      <c r="A88" s="1" t="s">
        <v>149</v>
      </c>
      <c r="B88" s="1">
        <v>5</v>
      </c>
      <c r="C88" s="1" t="str">
        <f t="shared" si="15"/>
        <v>DECTATOR</v>
      </c>
      <c r="D88" s="1">
        <v>4</v>
      </c>
      <c r="E88" s="1" t="str">
        <f t="shared" si="16"/>
        <v>SATISFIED</v>
      </c>
      <c r="F88" s="1">
        <f t="shared" si="17"/>
        <v>40</v>
      </c>
      <c r="G88" s="1" t="str">
        <f t="shared" si="18"/>
        <v>POOR</v>
      </c>
      <c r="H88" s="1">
        <v>2</v>
      </c>
      <c r="I88" s="1">
        <v>4</v>
      </c>
      <c r="J88" s="1">
        <v>2</v>
      </c>
      <c r="K88" s="1">
        <v>2</v>
      </c>
      <c r="L88" s="1">
        <v>3</v>
      </c>
      <c r="M88" s="1">
        <v>2</v>
      </c>
      <c r="N88" s="1">
        <v>3</v>
      </c>
      <c r="O88" s="1">
        <v>4</v>
      </c>
      <c r="P88" s="1">
        <v>2</v>
      </c>
      <c r="Q88" s="1">
        <v>4</v>
      </c>
      <c r="R88" s="1">
        <v>5</v>
      </c>
      <c r="S88" s="1" t="str">
        <f t="shared" si="19"/>
        <v>MODERATE</v>
      </c>
      <c r="T88" s="3">
        <v>46210.731944444437</v>
      </c>
      <c r="U88" s="3">
        <v>46210.740277777782</v>
      </c>
      <c r="V88" s="1">
        <f t="shared" si="20"/>
        <v>12</v>
      </c>
      <c r="W88" s="1" t="str">
        <f t="shared" si="21"/>
        <v>BAD</v>
      </c>
      <c r="X88" s="1">
        <f t="shared" si="22"/>
        <v>42.857142857142854</v>
      </c>
      <c r="Y88" s="1">
        <v>7</v>
      </c>
      <c r="Z88" s="1">
        <v>3</v>
      </c>
      <c r="AA88" s="1">
        <v>8</v>
      </c>
      <c r="AB88" s="1" t="str">
        <f t="shared" si="23"/>
        <v>MEDIUM</v>
      </c>
      <c r="AC88" s="1">
        <v>1</v>
      </c>
      <c r="AD88" s="1" t="str">
        <f t="shared" si="24"/>
        <v>Adopted</v>
      </c>
      <c r="AE88" s="1">
        <v>1</v>
      </c>
      <c r="AF88" s="1" t="str">
        <f t="shared" si="28"/>
        <v>Returned</v>
      </c>
      <c r="AG88" s="1">
        <v>1</v>
      </c>
      <c r="AH88" t="str">
        <f t="shared" si="25"/>
        <v>Success</v>
      </c>
      <c r="AI88">
        <f t="shared" si="26"/>
        <v>4</v>
      </c>
      <c r="AJ88" t="str">
        <f t="shared" si="27"/>
        <v>Medium</v>
      </c>
    </row>
    <row r="89" spans="1:36" ht="22.15" customHeight="1" x14ac:dyDescent="0.2">
      <c r="A89" s="1" t="s">
        <v>150</v>
      </c>
      <c r="B89" s="1">
        <v>5</v>
      </c>
      <c r="C89" s="1" t="str">
        <f t="shared" si="15"/>
        <v>DECTATOR</v>
      </c>
      <c r="D89" s="1">
        <v>3</v>
      </c>
      <c r="E89" s="1" t="str">
        <f t="shared" si="16"/>
        <v>NOT-SATISFIED</v>
      </c>
      <c r="F89" s="1">
        <f t="shared" si="17"/>
        <v>50</v>
      </c>
      <c r="G89" s="1" t="str">
        <f t="shared" si="18"/>
        <v>POOR</v>
      </c>
      <c r="H89" s="1">
        <v>2</v>
      </c>
      <c r="I89" s="1">
        <v>1</v>
      </c>
      <c r="J89" s="1">
        <v>2</v>
      </c>
      <c r="K89" s="1">
        <v>1</v>
      </c>
      <c r="L89" s="1">
        <v>2</v>
      </c>
      <c r="M89" s="1">
        <v>3</v>
      </c>
      <c r="N89" s="1">
        <v>2</v>
      </c>
      <c r="O89" s="1">
        <v>2</v>
      </c>
      <c r="P89" s="1">
        <v>2</v>
      </c>
      <c r="Q89" s="1">
        <v>3</v>
      </c>
      <c r="R89" s="1">
        <v>4</v>
      </c>
      <c r="S89" s="1" t="str">
        <f t="shared" si="19"/>
        <v>MODERATE</v>
      </c>
      <c r="T89" s="3">
        <v>46229.693055555559</v>
      </c>
      <c r="U89" s="3">
        <v>46229.701388888891</v>
      </c>
      <c r="V89" s="1">
        <f t="shared" si="20"/>
        <v>12</v>
      </c>
      <c r="W89" s="1" t="str">
        <f t="shared" si="21"/>
        <v>BAD</v>
      </c>
      <c r="X89" s="1">
        <f t="shared" si="22"/>
        <v>20</v>
      </c>
      <c r="Y89" s="1">
        <v>5</v>
      </c>
      <c r="Z89" s="1">
        <v>1</v>
      </c>
      <c r="AA89" s="1">
        <v>2</v>
      </c>
      <c r="AB89" s="1" t="str">
        <f t="shared" si="23"/>
        <v>LOW</v>
      </c>
      <c r="AC89" s="1">
        <v>0</v>
      </c>
      <c r="AD89" s="1" t="str">
        <f t="shared" si="24"/>
        <v>NOt Adopted</v>
      </c>
      <c r="AE89" s="1">
        <v>0</v>
      </c>
      <c r="AF89" s="1" t="str">
        <f t="shared" si="28"/>
        <v>Not Returned</v>
      </c>
      <c r="AG89" s="1">
        <v>1</v>
      </c>
      <c r="AH89" t="str">
        <f t="shared" si="25"/>
        <v>Success</v>
      </c>
      <c r="AI89">
        <f t="shared" si="26"/>
        <v>6</v>
      </c>
      <c r="AJ89" t="str">
        <f t="shared" si="27"/>
        <v>High</v>
      </c>
    </row>
    <row r="90" spans="1:36" ht="22.15" customHeight="1" x14ac:dyDescent="0.2">
      <c r="A90" s="1" t="s">
        <v>151</v>
      </c>
      <c r="B90" s="1">
        <v>1</v>
      </c>
      <c r="C90" s="1" t="str">
        <f t="shared" si="15"/>
        <v>DECTATOR</v>
      </c>
      <c r="D90" s="1">
        <v>3</v>
      </c>
      <c r="E90" s="1" t="str">
        <f t="shared" si="16"/>
        <v>NOT-SATISFIED</v>
      </c>
      <c r="F90" s="1">
        <f t="shared" si="17"/>
        <v>35</v>
      </c>
      <c r="G90" s="1" t="str">
        <f t="shared" si="18"/>
        <v>POOR</v>
      </c>
      <c r="H90" s="1">
        <v>2</v>
      </c>
      <c r="I90" s="1">
        <v>3</v>
      </c>
      <c r="J90" s="1">
        <v>1</v>
      </c>
      <c r="K90" s="1">
        <v>2</v>
      </c>
      <c r="L90" s="1">
        <v>1</v>
      </c>
      <c r="M90" s="1">
        <v>2</v>
      </c>
      <c r="N90" s="1">
        <v>1</v>
      </c>
      <c r="O90" s="1">
        <v>3</v>
      </c>
      <c r="P90" s="1">
        <v>1</v>
      </c>
      <c r="Q90" s="1">
        <v>2</v>
      </c>
      <c r="R90" s="1">
        <v>5</v>
      </c>
      <c r="S90" s="1" t="str">
        <f t="shared" si="19"/>
        <v>MODERATE</v>
      </c>
      <c r="T90" s="3">
        <v>46215.354166666657</v>
      </c>
      <c r="U90" s="3">
        <v>46215.365972222222</v>
      </c>
      <c r="V90" s="1">
        <f t="shared" si="20"/>
        <v>17</v>
      </c>
      <c r="W90" s="1" t="str">
        <f t="shared" si="21"/>
        <v>BAD</v>
      </c>
      <c r="X90" s="1">
        <f t="shared" si="22"/>
        <v>57.142857142857139</v>
      </c>
      <c r="Y90" s="1">
        <v>7</v>
      </c>
      <c r="Z90" s="1">
        <v>4</v>
      </c>
      <c r="AA90" s="1">
        <v>1</v>
      </c>
      <c r="AB90" s="1" t="str">
        <f t="shared" si="23"/>
        <v>LOW</v>
      </c>
      <c r="AC90" s="1">
        <v>1</v>
      </c>
      <c r="AD90" s="1" t="str">
        <f t="shared" si="24"/>
        <v>Adopted</v>
      </c>
      <c r="AE90" s="1">
        <v>0</v>
      </c>
      <c r="AF90" s="1" t="str">
        <f t="shared" si="28"/>
        <v>Not Returned</v>
      </c>
      <c r="AG90" s="1">
        <v>1</v>
      </c>
      <c r="AH90" t="str">
        <f t="shared" si="25"/>
        <v>Success</v>
      </c>
      <c r="AI90">
        <f t="shared" si="26"/>
        <v>8</v>
      </c>
      <c r="AJ90" t="str">
        <f t="shared" si="27"/>
        <v>High</v>
      </c>
    </row>
    <row r="91" spans="1:36" ht="22.15" customHeight="1" x14ac:dyDescent="0.2">
      <c r="A91" s="1" t="s">
        <v>152</v>
      </c>
      <c r="B91" s="1">
        <v>7</v>
      </c>
      <c r="C91" s="1" t="str">
        <f t="shared" si="15"/>
        <v>PASS</v>
      </c>
      <c r="D91" s="1">
        <v>5</v>
      </c>
      <c r="E91" s="1" t="str">
        <f t="shared" si="16"/>
        <v>SATISFIED</v>
      </c>
      <c r="F91" s="1">
        <f t="shared" si="17"/>
        <v>55</v>
      </c>
      <c r="G91" s="1" t="str">
        <f t="shared" si="18"/>
        <v>NEED IMPROVEMENT</v>
      </c>
      <c r="H91" s="1">
        <v>4</v>
      </c>
      <c r="I91" s="1">
        <v>3</v>
      </c>
      <c r="J91" s="1">
        <v>3</v>
      </c>
      <c r="K91" s="1">
        <v>4</v>
      </c>
      <c r="L91" s="1">
        <v>5</v>
      </c>
      <c r="M91" s="1">
        <v>3</v>
      </c>
      <c r="N91" s="1">
        <v>4</v>
      </c>
      <c r="O91" s="1">
        <v>4</v>
      </c>
      <c r="P91" s="1">
        <v>4</v>
      </c>
      <c r="Q91" s="1">
        <v>4</v>
      </c>
      <c r="R91" s="1">
        <v>5</v>
      </c>
      <c r="S91" s="1" t="str">
        <f t="shared" si="19"/>
        <v>MODERATE</v>
      </c>
      <c r="T91" s="3">
        <v>46216.757638888892</v>
      </c>
      <c r="U91" s="3">
        <v>46216.763194444437</v>
      </c>
      <c r="V91" s="1">
        <f t="shared" si="20"/>
        <v>8</v>
      </c>
      <c r="W91" s="1" t="str">
        <f t="shared" si="21"/>
        <v>SATISFACTORY</v>
      </c>
      <c r="X91" s="1">
        <f t="shared" si="22"/>
        <v>0</v>
      </c>
      <c r="Y91" s="1">
        <v>5</v>
      </c>
      <c r="Z91" s="1">
        <v>0</v>
      </c>
      <c r="AA91" s="1">
        <v>9</v>
      </c>
      <c r="AB91" s="1" t="str">
        <f t="shared" si="23"/>
        <v>MEDIUM</v>
      </c>
      <c r="AC91" s="1">
        <v>1</v>
      </c>
      <c r="AD91" s="1" t="str">
        <f t="shared" si="24"/>
        <v>Adopted</v>
      </c>
      <c r="AE91" s="1">
        <v>1</v>
      </c>
      <c r="AF91" s="1" t="str">
        <f t="shared" si="28"/>
        <v>Returned</v>
      </c>
      <c r="AG91" s="1">
        <v>1</v>
      </c>
      <c r="AH91" t="str">
        <f t="shared" si="25"/>
        <v>Success</v>
      </c>
      <c r="AI91">
        <f t="shared" si="26"/>
        <v>1</v>
      </c>
      <c r="AJ91" t="str">
        <f t="shared" si="27"/>
        <v>Low</v>
      </c>
    </row>
    <row r="92" spans="1:36" ht="22.15" customHeight="1" x14ac:dyDescent="0.2">
      <c r="A92" s="1" t="s">
        <v>153</v>
      </c>
      <c r="B92" s="1">
        <v>4</v>
      </c>
      <c r="C92" s="1" t="str">
        <f t="shared" si="15"/>
        <v>DECTATOR</v>
      </c>
      <c r="D92" s="1">
        <v>2</v>
      </c>
      <c r="E92" s="1" t="str">
        <f t="shared" si="16"/>
        <v>NOT-SATISFIED</v>
      </c>
      <c r="F92" s="1">
        <f t="shared" si="17"/>
        <v>45</v>
      </c>
      <c r="G92" s="1" t="str">
        <f t="shared" si="18"/>
        <v>POOR</v>
      </c>
      <c r="H92" s="1">
        <v>2</v>
      </c>
      <c r="I92" s="1">
        <v>3</v>
      </c>
      <c r="J92" s="1">
        <v>3</v>
      </c>
      <c r="K92" s="1">
        <v>3</v>
      </c>
      <c r="L92" s="1">
        <v>2</v>
      </c>
      <c r="M92" s="1">
        <v>2</v>
      </c>
      <c r="N92" s="1">
        <v>3</v>
      </c>
      <c r="O92" s="1">
        <v>3</v>
      </c>
      <c r="P92" s="1">
        <v>2</v>
      </c>
      <c r="Q92" s="1">
        <v>3</v>
      </c>
      <c r="R92" s="1">
        <v>4</v>
      </c>
      <c r="S92" s="1" t="str">
        <f t="shared" si="19"/>
        <v>MODERATE</v>
      </c>
      <c r="T92" s="3">
        <v>46207.556944444441</v>
      </c>
      <c r="U92" s="3">
        <v>46207.565972222219</v>
      </c>
      <c r="V92" s="1">
        <f t="shared" si="20"/>
        <v>13</v>
      </c>
      <c r="W92" s="1" t="str">
        <f t="shared" si="21"/>
        <v>BAD</v>
      </c>
      <c r="X92" s="1">
        <f t="shared" si="22"/>
        <v>0</v>
      </c>
      <c r="Y92" s="1">
        <v>3</v>
      </c>
      <c r="Z92" s="1">
        <v>0</v>
      </c>
      <c r="AA92" s="1">
        <v>4</v>
      </c>
      <c r="AB92" s="1" t="str">
        <f t="shared" si="23"/>
        <v>LOW</v>
      </c>
      <c r="AC92" s="1">
        <v>1</v>
      </c>
      <c r="AD92" s="1" t="str">
        <f t="shared" si="24"/>
        <v>Adopted</v>
      </c>
      <c r="AE92" s="1">
        <v>1</v>
      </c>
      <c r="AF92" s="1" t="str">
        <f t="shared" si="28"/>
        <v>Returned</v>
      </c>
      <c r="AG92" s="1">
        <v>1</v>
      </c>
      <c r="AH92" t="str">
        <f t="shared" si="25"/>
        <v>Success</v>
      </c>
      <c r="AI92">
        <f t="shared" si="26"/>
        <v>3</v>
      </c>
      <c r="AJ92" t="str">
        <f t="shared" si="27"/>
        <v>Low</v>
      </c>
    </row>
    <row r="93" spans="1:36" ht="22.15" customHeight="1" x14ac:dyDescent="0.2">
      <c r="A93" s="1" t="s">
        <v>154</v>
      </c>
      <c r="B93" s="1">
        <v>7</v>
      </c>
      <c r="C93" s="1" t="str">
        <f t="shared" si="15"/>
        <v>PASS</v>
      </c>
      <c r="D93" s="1">
        <v>4</v>
      </c>
      <c r="E93" s="1" t="str">
        <f t="shared" si="16"/>
        <v>SATISFIED</v>
      </c>
      <c r="F93" s="1">
        <f t="shared" si="17"/>
        <v>47.5</v>
      </c>
      <c r="G93" s="1" t="str">
        <f t="shared" si="18"/>
        <v>POOR</v>
      </c>
      <c r="H93" s="1">
        <v>3</v>
      </c>
      <c r="I93" s="1">
        <v>3</v>
      </c>
      <c r="J93" s="1">
        <v>3</v>
      </c>
      <c r="K93" s="1">
        <v>3</v>
      </c>
      <c r="L93" s="1">
        <v>4</v>
      </c>
      <c r="M93" s="1">
        <v>3</v>
      </c>
      <c r="N93" s="1">
        <v>2</v>
      </c>
      <c r="O93" s="1">
        <v>4</v>
      </c>
      <c r="P93" s="1">
        <v>3</v>
      </c>
      <c r="Q93" s="1">
        <v>3</v>
      </c>
      <c r="R93" s="1">
        <v>3</v>
      </c>
      <c r="S93" s="1" t="str">
        <f t="shared" si="19"/>
        <v>LOW</v>
      </c>
      <c r="T93" s="3">
        <v>46214.652083333327</v>
      </c>
      <c r="U93" s="3">
        <v>46214.65902777778</v>
      </c>
      <c r="V93" s="1">
        <f t="shared" si="20"/>
        <v>10</v>
      </c>
      <c r="W93" s="1" t="str">
        <f t="shared" si="21"/>
        <v>SATISFACTORY</v>
      </c>
      <c r="X93" s="1">
        <f t="shared" si="22"/>
        <v>33.333333333333329</v>
      </c>
      <c r="Y93" s="1">
        <v>6</v>
      </c>
      <c r="Z93" s="1">
        <v>2</v>
      </c>
      <c r="AA93" s="1">
        <v>6</v>
      </c>
      <c r="AB93" s="1" t="str">
        <f t="shared" si="23"/>
        <v>LOW</v>
      </c>
      <c r="AC93" s="1">
        <v>1</v>
      </c>
      <c r="AD93" s="1" t="str">
        <f t="shared" si="24"/>
        <v>Adopted</v>
      </c>
      <c r="AE93" s="1">
        <v>1</v>
      </c>
      <c r="AF93" s="1" t="str">
        <f t="shared" si="28"/>
        <v>Returned</v>
      </c>
      <c r="AG93" s="1">
        <v>0</v>
      </c>
      <c r="AH93" t="str">
        <f t="shared" si="25"/>
        <v>Fail</v>
      </c>
      <c r="AI93">
        <f t="shared" si="26"/>
        <v>4</v>
      </c>
      <c r="AJ93" t="str">
        <f t="shared" si="27"/>
        <v>Medium</v>
      </c>
    </row>
    <row r="94" spans="1:36" ht="22.15" customHeight="1" x14ac:dyDescent="0.2">
      <c r="A94" s="1" t="s">
        <v>155</v>
      </c>
      <c r="B94" s="1">
        <v>6</v>
      </c>
      <c r="C94" s="1" t="str">
        <f t="shared" si="15"/>
        <v>DECTATOR</v>
      </c>
      <c r="D94" s="1">
        <v>4</v>
      </c>
      <c r="E94" s="1" t="str">
        <f t="shared" si="16"/>
        <v>SATISFIED</v>
      </c>
      <c r="F94" s="1">
        <f t="shared" si="17"/>
        <v>50</v>
      </c>
      <c r="G94" s="1" t="str">
        <f t="shared" si="18"/>
        <v>POOR</v>
      </c>
      <c r="H94" s="1">
        <v>3</v>
      </c>
      <c r="I94" s="1">
        <v>3</v>
      </c>
      <c r="J94" s="1">
        <v>3</v>
      </c>
      <c r="K94" s="1">
        <v>3</v>
      </c>
      <c r="L94" s="1">
        <v>2</v>
      </c>
      <c r="M94" s="1">
        <v>3</v>
      </c>
      <c r="N94" s="1">
        <v>3</v>
      </c>
      <c r="O94" s="1">
        <v>2</v>
      </c>
      <c r="P94" s="1">
        <v>3</v>
      </c>
      <c r="Q94" s="1">
        <v>3</v>
      </c>
      <c r="R94" s="1">
        <v>4</v>
      </c>
      <c r="S94" s="1" t="str">
        <f t="shared" si="19"/>
        <v>MODERATE</v>
      </c>
      <c r="T94" s="3">
        <v>46228.702777777777</v>
      </c>
      <c r="U94" s="3">
        <v>46228.712500000001</v>
      </c>
      <c r="V94" s="1">
        <f t="shared" si="20"/>
        <v>14</v>
      </c>
      <c r="W94" s="1" t="str">
        <f t="shared" si="21"/>
        <v>BAD</v>
      </c>
      <c r="X94" s="1">
        <f t="shared" si="22"/>
        <v>20</v>
      </c>
      <c r="Y94" s="1">
        <v>5</v>
      </c>
      <c r="Z94" s="1">
        <v>1</v>
      </c>
      <c r="AA94" s="1">
        <v>5</v>
      </c>
      <c r="AB94" s="1" t="str">
        <f t="shared" si="23"/>
        <v>LOW</v>
      </c>
      <c r="AC94" s="1">
        <v>1</v>
      </c>
      <c r="AD94" s="1" t="str">
        <f t="shared" si="24"/>
        <v>Adopted</v>
      </c>
      <c r="AE94" s="1">
        <v>0</v>
      </c>
      <c r="AF94" s="1" t="str">
        <f t="shared" si="28"/>
        <v>Not Returned</v>
      </c>
      <c r="AG94" s="1">
        <v>1</v>
      </c>
      <c r="AH94" t="str">
        <f t="shared" si="25"/>
        <v>Success</v>
      </c>
      <c r="AI94">
        <f t="shared" si="26"/>
        <v>3</v>
      </c>
      <c r="AJ94" t="str">
        <f t="shared" si="27"/>
        <v>Low</v>
      </c>
    </row>
    <row r="95" spans="1:36" ht="22.15" customHeight="1" x14ac:dyDescent="0.2">
      <c r="A95" s="1" t="s">
        <v>156</v>
      </c>
      <c r="B95" s="1">
        <v>4</v>
      </c>
      <c r="C95" s="1" t="str">
        <f t="shared" si="15"/>
        <v>DECTATOR</v>
      </c>
      <c r="D95" s="1">
        <v>4</v>
      </c>
      <c r="E95" s="1" t="str">
        <f t="shared" si="16"/>
        <v>SATISFIED</v>
      </c>
      <c r="F95" s="1">
        <f t="shared" si="17"/>
        <v>55</v>
      </c>
      <c r="G95" s="1" t="str">
        <f t="shared" si="18"/>
        <v>NEED IMPROVEMENT</v>
      </c>
      <c r="H95" s="1">
        <v>3</v>
      </c>
      <c r="I95" s="1">
        <v>3</v>
      </c>
      <c r="J95" s="1">
        <v>3</v>
      </c>
      <c r="K95" s="1">
        <v>2</v>
      </c>
      <c r="L95" s="1">
        <v>3</v>
      </c>
      <c r="M95" s="1">
        <v>2</v>
      </c>
      <c r="N95" s="1">
        <v>1</v>
      </c>
      <c r="O95" s="1">
        <v>2</v>
      </c>
      <c r="P95" s="1">
        <v>2</v>
      </c>
      <c r="Q95" s="1">
        <v>1</v>
      </c>
      <c r="R95" s="1">
        <v>6</v>
      </c>
      <c r="S95" s="1" t="str">
        <f t="shared" si="19"/>
        <v>HIGH</v>
      </c>
      <c r="T95" s="3">
        <v>46230.493750000001</v>
      </c>
      <c r="U95" s="3">
        <v>46230.500694444447</v>
      </c>
      <c r="V95" s="1">
        <f t="shared" si="20"/>
        <v>10</v>
      </c>
      <c r="W95" s="1" t="str">
        <f t="shared" si="21"/>
        <v>SATISFACTORY</v>
      </c>
      <c r="X95" s="1">
        <f t="shared" si="22"/>
        <v>57.142857142857139</v>
      </c>
      <c r="Y95" s="1">
        <v>7</v>
      </c>
      <c r="Z95" s="1">
        <v>4</v>
      </c>
      <c r="AA95" s="1">
        <v>4</v>
      </c>
      <c r="AB95" s="1" t="str">
        <f t="shared" si="23"/>
        <v>LOW</v>
      </c>
      <c r="AC95" s="1">
        <v>0</v>
      </c>
      <c r="AD95" s="1" t="str">
        <f t="shared" si="24"/>
        <v>NOt Adopted</v>
      </c>
      <c r="AE95" s="1">
        <v>0</v>
      </c>
      <c r="AF95" s="1" t="str">
        <f t="shared" si="28"/>
        <v>Not Returned</v>
      </c>
      <c r="AG95" s="1">
        <v>1</v>
      </c>
      <c r="AH95" t="str">
        <f t="shared" si="25"/>
        <v>Success</v>
      </c>
      <c r="AI95">
        <f t="shared" si="26"/>
        <v>7</v>
      </c>
      <c r="AJ95" t="str">
        <f t="shared" si="27"/>
        <v>High</v>
      </c>
    </row>
    <row r="96" spans="1:36" ht="22.15" customHeight="1" x14ac:dyDescent="0.2">
      <c r="A96" s="1" t="s">
        <v>157</v>
      </c>
      <c r="B96" s="1">
        <v>10</v>
      </c>
      <c r="C96" s="1" t="str">
        <f t="shared" si="15"/>
        <v>PROM</v>
      </c>
      <c r="D96" s="1">
        <v>5</v>
      </c>
      <c r="E96" s="1" t="str">
        <f t="shared" si="16"/>
        <v>SATISFIED</v>
      </c>
      <c r="F96" s="1">
        <f t="shared" si="17"/>
        <v>60</v>
      </c>
      <c r="G96" s="1" t="str">
        <f t="shared" si="18"/>
        <v>NEED IMPROVEMENT</v>
      </c>
      <c r="H96" s="1">
        <v>5</v>
      </c>
      <c r="I96" s="1">
        <v>4</v>
      </c>
      <c r="J96" s="1">
        <v>5</v>
      </c>
      <c r="K96" s="1">
        <v>4</v>
      </c>
      <c r="L96" s="1">
        <v>4</v>
      </c>
      <c r="M96" s="1">
        <v>3</v>
      </c>
      <c r="N96" s="1">
        <v>4</v>
      </c>
      <c r="O96" s="1">
        <v>3</v>
      </c>
      <c r="P96" s="1">
        <v>4</v>
      </c>
      <c r="Q96" s="1">
        <v>4</v>
      </c>
      <c r="R96" s="1">
        <v>1</v>
      </c>
      <c r="S96" s="1" t="str">
        <f t="shared" si="19"/>
        <v>LOW</v>
      </c>
      <c r="T96" s="3">
        <v>46212.768055555563</v>
      </c>
      <c r="U96" s="3">
        <v>46212.770138888889</v>
      </c>
      <c r="V96" s="1">
        <f t="shared" si="20"/>
        <v>3</v>
      </c>
      <c r="W96" s="1" t="str">
        <f t="shared" si="21"/>
        <v>GOOD</v>
      </c>
      <c r="X96" s="1">
        <f t="shared" si="22"/>
        <v>0</v>
      </c>
      <c r="Y96" s="1">
        <v>4</v>
      </c>
      <c r="Z96" s="1">
        <v>0</v>
      </c>
      <c r="AA96" s="1">
        <v>8</v>
      </c>
      <c r="AB96" s="1" t="str">
        <f t="shared" si="23"/>
        <v>MEDIUM</v>
      </c>
      <c r="AC96" s="1">
        <v>1</v>
      </c>
      <c r="AD96" s="1" t="str">
        <f t="shared" si="24"/>
        <v>Adopted</v>
      </c>
      <c r="AE96" s="1">
        <v>1</v>
      </c>
      <c r="AF96" s="1" t="str">
        <f t="shared" si="28"/>
        <v>Returned</v>
      </c>
      <c r="AG96" s="1">
        <v>1</v>
      </c>
      <c r="AH96" t="str">
        <f t="shared" si="25"/>
        <v>Success</v>
      </c>
      <c r="AI96">
        <f t="shared" si="26"/>
        <v>0</v>
      </c>
      <c r="AJ96" t="str">
        <f t="shared" si="27"/>
        <v>Low</v>
      </c>
    </row>
    <row r="97" spans="1:36" ht="22.15" customHeight="1" x14ac:dyDescent="0.2">
      <c r="A97" s="1" t="s">
        <v>158</v>
      </c>
      <c r="B97" s="1">
        <v>7</v>
      </c>
      <c r="C97" s="1" t="str">
        <f t="shared" si="15"/>
        <v>PASS</v>
      </c>
      <c r="D97" s="1">
        <v>2</v>
      </c>
      <c r="E97" s="1" t="str">
        <f t="shared" si="16"/>
        <v>NOT-SATISFIED</v>
      </c>
      <c r="F97" s="1">
        <f t="shared" si="17"/>
        <v>57.5</v>
      </c>
      <c r="G97" s="1" t="str">
        <f t="shared" si="18"/>
        <v>NEED IMPROVEMENT</v>
      </c>
      <c r="H97" s="1">
        <v>4</v>
      </c>
      <c r="I97" s="1">
        <v>2</v>
      </c>
      <c r="J97" s="1">
        <v>2</v>
      </c>
      <c r="K97" s="1">
        <v>3</v>
      </c>
      <c r="L97" s="1">
        <v>2</v>
      </c>
      <c r="M97" s="1">
        <v>1</v>
      </c>
      <c r="N97" s="1">
        <v>4</v>
      </c>
      <c r="O97" s="1">
        <v>3</v>
      </c>
      <c r="P97" s="1">
        <v>2</v>
      </c>
      <c r="Q97" s="1">
        <v>2</v>
      </c>
      <c r="R97" s="1">
        <v>6</v>
      </c>
      <c r="S97" s="1" t="str">
        <f t="shared" si="19"/>
        <v>HIGH</v>
      </c>
      <c r="T97" s="3">
        <v>46221.713888888888</v>
      </c>
      <c r="U97" s="3">
        <v>46221.723611111112</v>
      </c>
      <c r="V97" s="1">
        <f t="shared" si="20"/>
        <v>14</v>
      </c>
      <c r="W97" s="1" t="str">
        <f t="shared" si="21"/>
        <v>BAD</v>
      </c>
      <c r="X97" s="1">
        <f t="shared" si="22"/>
        <v>50</v>
      </c>
      <c r="Y97" s="1">
        <v>4</v>
      </c>
      <c r="Z97" s="1">
        <v>2</v>
      </c>
      <c r="AA97" s="1">
        <v>3</v>
      </c>
      <c r="AB97" s="1" t="str">
        <f t="shared" si="23"/>
        <v>LOW</v>
      </c>
      <c r="AC97" s="1">
        <v>0</v>
      </c>
      <c r="AD97" s="1" t="str">
        <f t="shared" si="24"/>
        <v>NOt Adopted</v>
      </c>
      <c r="AE97" s="1">
        <v>1</v>
      </c>
      <c r="AF97" s="1" t="str">
        <f t="shared" si="28"/>
        <v>Returned</v>
      </c>
      <c r="AG97" s="1">
        <v>1</v>
      </c>
      <c r="AH97" t="str">
        <f t="shared" si="25"/>
        <v>Success</v>
      </c>
      <c r="AI97">
        <f t="shared" si="26"/>
        <v>5</v>
      </c>
      <c r="AJ97" t="str">
        <f t="shared" si="27"/>
        <v>Medium</v>
      </c>
    </row>
    <row r="98" spans="1:36" ht="22.15" customHeight="1" x14ac:dyDescent="0.2">
      <c r="A98" s="1" t="s">
        <v>159</v>
      </c>
      <c r="B98" s="1">
        <v>7</v>
      </c>
      <c r="C98" s="1" t="str">
        <f t="shared" si="15"/>
        <v>PASS</v>
      </c>
      <c r="D98" s="1">
        <v>5</v>
      </c>
      <c r="E98" s="1" t="str">
        <f t="shared" si="16"/>
        <v>SATISFIED</v>
      </c>
      <c r="F98" s="1">
        <f t="shared" si="17"/>
        <v>42.5</v>
      </c>
      <c r="G98" s="1" t="str">
        <f t="shared" si="18"/>
        <v>POOR</v>
      </c>
      <c r="H98" s="1">
        <v>4</v>
      </c>
      <c r="I98" s="1">
        <v>5</v>
      </c>
      <c r="J98" s="1">
        <v>4</v>
      </c>
      <c r="K98" s="1">
        <v>4</v>
      </c>
      <c r="L98" s="1">
        <v>4</v>
      </c>
      <c r="M98" s="1">
        <v>5</v>
      </c>
      <c r="N98" s="1">
        <v>4</v>
      </c>
      <c r="O98" s="1">
        <v>5</v>
      </c>
      <c r="P98" s="1">
        <v>4</v>
      </c>
      <c r="Q98" s="1">
        <v>4</v>
      </c>
      <c r="R98" s="1">
        <v>3</v>
      </c>
      <c r="S98" s="1" t="str">
        <f t="shared" si="19"/>
        <v>LOW</v>
      </c>
      <c r="T98" s="3">
        <v>46232.756944444453</v>
      </c>
      <c r="U98" s="3">
        <v>46232.76458333333</v>
      </c>
      <c r="V98" s="1">
        <f t="shared" si="20"/>
        <v>11</v>
      </c>
      <c r="W98" s="1" t="str">
        <f t="shared" si="21"/>
        <v>BAD</v>
      </c>
      <c r="X98" s="1">
        <f t="shared" si="22"/>
        <v>40</v>
      </c>
      <c r="Y98" s="1">
        <v>5</v>
      </c>
      <c r="Z98" s="1">
        <v>2</v>
      </c>
      <c r="AA98" s="1">
        <v>8</v>
      </c>
      <c r="AB98" s="1" t="str">
        <f t="shared" si="23"/>
        <v>MEDIUM</v>
      </c>
      <c r="AC98" s="1">
        <v>1</v>
      </c>
      <c r="AD98" s="1" t="str">
        <f t="shared" si="24"/>
        <v>Adopted</v>
      </c>
      <c r="AE98" s="1">
        <v>1</v>
      </c>
      <c r="AF98" s="1" t="str">
        <f t="shared" si="28"/>
        <v>Returned</v>
      </c>
      <c r="AG98" s="1">
        <v>1</v>
      </c>
      <c r="AH98" t="str">
        <f t="shared" si="25"/>
        <v>Success</v>
      </c>
      <c r="AI98">
        <f t="shared" si="26"/>
        <v>2</v>
      </c>
      <c r="AJ98" t="str">
        <f t="shared" si="27"/>
        <v>Low</v>
      </c>
    </row>
    <row r="99" spans="1:36" ht="22.15" customHeight="1" x14ac:dyDescent="0.2">
      <c r="A99" s="1" t="s">
        <v>160</v>
      </c>
      <c r="B99" s="1">
        <v>9</v>
      </c>
      <c r="C99" s="1" t="str">
        <f t="shared" si="15"/>
        <v>PROM</v>
      </c>
      <c r="D99" s="1">
        <v>4</v>
      </c>
      <c r="E99" s="1" t="str">
        <f t="shared" si="16"/>
        <v>SATISFIED</v>
      </c>
      <c r="F99" s="1">
        <f t="shared" si="17"/>
        <v>52.5</v>
      </c>
      <c r="G99" s="1" t="str">
        <f t="shared" si="18"/>
        <v>NEED IMPROVEMENT</v>
      </c>
      <c r="H99" s="1">
        <v>4</v>
      </c>
      <c r="I99" s="1">
        <v>3</v>
      </c>
      <c r="J99" s="1">
        <v>3</v>
      </c>
      <c r="K99" s="1">
        <v>4</v>
      </c>
      <c r="L99" s="1">
        <v>4</v>
      </c>
      <c r="M99" s="1">
        <v>4</v>
      </c>
      <c r="N99" s="1">
        <v>3</v>
      </c>
      <c r="O99" s="1">
        <v>3</v>
      </c>
      <c r="P99" s="1">
        <v>4</v>
      </c>
      <c r="Q99" s="1">
        <v>3</v>
      </c>
      <c r="R99" s="1">
        <v>5</v>
      </c>
      <c r="S99" s="1" t="str">
        <f t="shared" si="19"/>
        <v>MODERATE</v>
      </c>
      <c r="T99" s="3">
        <v>46231.445138888892</v>
      </c>
      <c r="U99" s="3">
        <v>46231.453472222223</v>
      </c>
      <c r="V99" s="1">
        <f t="shared" si="20"/>
        <v>12</v>
      </c>
      <c r="W99" s="1" t="str">
        <f t="shared" si="21"/>
        <v>BAD</v>
      </c>
      <c r="X99" s="1">
        <f t="shared" si="22"/>
        <v>20</v>
      </c>
      <c r="Y99" s="1">
        <v>5</v>
      </c>
      <c r="Z99" s="1">
        <v>1</v>
      </c>
      <c r="AA99" s="1">
        <v>7</v>
      </c>
      <c r="AB99" s="1" t="str">
        <f t="shared" si="23"/>
        <v>MEDIUM</v>
      </c>
      <c r="AC99" s="1">
        <v>1</v>
      </c>
      <c r="AD99" s="1" t="str">
        <f t="shared" si="24"/>
        <v>Adopted</v>
      </c>
      <c r="AE99" s="1">
        <v>1</v>
      </c>
      <c r="AF99" s="1" t="str">
        <f t="shared" si="28"/>
        <v>Returned</v>
      </c>
      <c r="AG99" s="1">
        <v>1</v>
      </c>
      <c r="AH99" t="str">
        <f t="shared" si="25"/>
        <v>Success</v>
      </c>
      <c r="AI99">
        <f t="shared" si="26"/>
        <v>1</v>
      </c>
      <c r="AJ99" t="str">
        <f t="shared" si="27"/>
        <v>Low</v>
      </c>
    </row>
    <row r="100" spans="1:36" ht="22.15" customHeight="1" x14ac:dyDescent="0.2">
      <c r="A100" s="1" t="s">
        <v>161</v>
      </c>
      <c r="B100" s="1">
        <v>4</v>
      </c>
      <c r="C100" s="1" t="str">
        <f t="shared" si="15"/>
        <v>DECTATOR</v>
      </c>
      <c r="D100" s="1">
        <v>3</v>
      </c>
      <c r="E100" s="1" t="str">
        <f t="shared" si="16"/>
        <v>NOT-SATISFIED</v>
      </c>
      <c r="F100" s="1">
        <f t="shared" si="17"/>
        <v>45</v>
      </c>
      <c r="G100" s="1" t="str">
        <f t="shared" si="18"/>
        <v>POOR</v>
      </c>
      <c r="H100" s="1">
        <v>3</v>
      </c>
      <c r="I100" s="1">
        <v>2</v>
      </c>
      <c r="J100" s="1">
        <v>1</v>
      </c>
      <c r="K100" s="1">
        <v>4</v>
      </c>
      <c r="L100" s="1">
        <v>3</v>
      </c>
      <c r="M100" s="1">
        <v>3</v>
      </c>
      <c r="N100" s="1">
        <v>3</v>
      </c>
      <c r="O100" s="1">
        <v>3</v>
      </c>
      <c r="P100" s="1">
        <v>2</v>
      </c>
      <c r="Q100" s="1">
        <v>2</v>
      </c>
      <c r="R100" s="1">
        <v>5</v>
      </c>
      <c r="S100" s="1" t="str">
        <f t="shared" si="19"/>
        <v>MODERATE</v>
      </c>
      <c r="T100" s="3">
        <v>46223.53402777778</v>
      </c>
      <c r="U100" s="3">
        <v>46223.542361111111</v>
      </c>
      <c r="V100" s="1">
        <f t="shared" si="20"/>
        <v>12</v>
      </c>
      <c r="W100" s="1" t="str">
        <f t="shared" si="21"/>
        <v>BAD</v>
      </c>
      <c r="X100" s="1">
        <f t="shared" si="22"/>
        <v>40</v>
      </c>
      <c r="Y100" s="1">
        <v>5</v>
      </c>
      <c r="Z100" s="1">
        <v>2</v>
      </c>
      <c r="AA100" s="1">
        <v>2</v>
      </c>
      <c r="AB100" s="1" t="str">
        <f t="shared" si="23"/>
        <v>LOW</v>
      </c>
      <c r="AC100" s="1">
        <v>0</v>
      </c>
      <c r="AD100" s="1" t="str">
        <f t="shared" si="24"/>
        <v>NOt Adopted</v>
      </c>
      <c r="AE100" s="1">
        <v>0</v>
      </c>
      <c r="AF100" s="1" t="str">
        <f t="shared" si="28"/>
        <v>Not Returned</v>
      </c>
      <c r="AG100" s="1">
        <v>1</v>
      </c>
      <c r="AH100" t="str">
        <f t="shared" si="25"/>
        <v>Success</v>
      </c>
      <c r="AI100">
        <f t="shared" si="26"/>
        <v>7</v>
      </c>
      <c r="AJ100" t="str">
        <f t="shared" si="27"/>
        <v>High</v>
      </c>
    </row>
    <row r="101" spans="1:36" ht="22.15" customHeight="1" x14ac:dyDescent="0.2">
      <c r="A101" s="1" t="s">
        <v>162</v>
      </c>
      <c r="B101" s="1">
        <v>8</v>
      </c>
      <c r="C101" s="1" t="str">
        <f t="shared" si="15"/>
        <v>PASS</v>
      </c>
      <c r="D101" s="1">
        <v>5</v>
      </c>
      <c r="E101" s="1" t="str">
        <f t="shared" si="16"/>
        <v>SATISFIED</v>
      </c>
      <c r="F101" s="1">
        <f t="shared" si="17"/>
        <v>60</v>
      </c>
      <c r="G101" s="1" t="str">
        <f t="shared" si="18"/>
        <v>NEED IMPROVEMENT</v>
      </c>
      <c r="H101" s="1">
        <v>4</v>
      </c>
      <c r="I101" s="1">
        <v>4</v>
      </c>
      <c r="J101" s="1">
        <v>4</v>
      </c>
      <c r="K101" s="1">
        <v>3</v>
      </c>
      <c r="L101" s="1">
        <v>4</v>
      </c>
      <c r="M101" s="1">
        <v>3</v>
      </c>
      <c r="N101" s="1">
        <v>5</v>
      </c>
      <c r="O101" s="1">
        <v>3</v>
      </c>
      <c r="P101" s="1">
        <v>4</v>
      </c>
      <c r="Q101" s="1">
        <v>4</v>
      </c>
      <c r="R101" s="1">
        <v>3</v>
      </c>
      <c r="S101" s="1" t="str">
        <f t="shared" si="19"/>
        <v>LOW</v>
      </c>
      <c r="T101" s="3">
        <v>46228.375694444447</v>
      </c>
      <c r="U101" s="3">
        <v>46228.381944444453</v>
      </c>
      <c r="V101" s="1">
        <f t="shared" si="20"/>
        <v>9</v>
      </c>
      <c r="W101" s="1" t="str">
        <f t="shared" si="21"/>
        <v>SATISFACTORY</v>
      </c>
      <c r="X101" s="1">
        <f t="shared" si="22"/>
        <v>0</v>
      </c>
      <c r="Y101" s="1">
        <v>4</v>
      </c>
      <c r="Z101" s="1">
        <v>0</v>
      </c>
      <c r="AA101" s="1">
        <v>8</v>
      </c>
      <c r="AB101" s="1" t="str">
        <f>IF(AA101&lt;=6,"LOW",IF(AA101&lt;=10,"MEDIUM","HIGH"))</f>
        <v>MEDIUM</v>
      </c>
      <c r="AC101" s="1">
        <v>1</v>
      </c>
      <c r="AD101" s="1" t="str">
        <f t="shared" si="24"/>
        <v>Adopted</v>
      </c>
      <c r="AE101" s="1">
        <v>1</v>
      </c>
      <c r="AF101" s="1" t="str">
        <f t="shared" si="28"/>
        <v>Returned</v>
      </c>
      <c r="AG101" s="1">
        <v>1</v>
      </c>
      <c r="AH101" t="str">
        <f t="shared" si="25"/>
        <v>Success</v>
      </c>
      <c r="AI101">
        <f t="shared" si="26"/>
        <v>0</v>
      </c>
      <c r="AJ101" t="str">
        <f t="shared" si="27"/>
        <v>Low</v>
      </c>
    </row>
    <row r="102" spans="1:36" x14ac:dyDescent="0.2">
      <c r="E102" s="1"/>
      <c r="F102" s="1"/>
      <c r="G102" s="1"/>
    </row>
    <row r="103" spans="1:36" x14ac:dyDescent="0.2">
      <c r="E103" s="1"/>
      <c r="F103" s="1"/>
      <c r="G103" s="1"/>
    </row>
  </sheetData>
  <autoFilter ref="A1:AG101" xr:uid="{00000000-0009-0000-0000-000001000000}"/>
  <conditionalFormatting sqref="B2:C101">
    <cfRule type="colorScale" priority="1">
      <colorScale>
        <cfvo type="num" val="0"/>
        <cfvo type="num" val="7"/>
        <cfvo type="num" val="10"/>
        <color rgb="FFF4CCCC"/>
        <color rgb="FFFFF2CC"/>
        <color rgb="FFD9EAD3"/>
      </colorScale>
    </cfRule>
  </conditionalFormatting>
  <conditionalFormatting sqref="D2:G2 D3:D101 E3:G103">
    <cfRule type="colorScale" priority="2">
      <colorScale>
        <cfvo type="num" val="1"/>
        <cfvo type="num" val="3"/>
        <cfvo type="num" val="5"/>
        <color rgb="FFF4CCCC"/>
        <color rgb="FFFFF2CC"/>
        <color rgb="FFD9EAD3"/>
      </colorScale>
    </cfRule>
  </conditionalFormatting>
  <conditionalFormatting sqref="Q2:Q101">
    <cfRule type="colorScale" priority="3">
      <colorScale>
        <cfvo type="num" val="1"/>
        <cfvo type="num" val="3"/>
        <cfvo type="num" val="5"/>
        <color rgb="FFF4CCCC"/>
        <color rgb="FFFFF2CC"/>
        <color rgb="FFD9EAD3"/>
      </colorScale>
    </cfRule>
  </conditionalFormatting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B113-52A5-4EFE-887D-0BB61732D427}">
  <dimension ref="A1:E4"/>
  <sheetViews>
    <sheetView workbookViewId="0">
      <selection sqref="A1:C4"/>
    </sheetView>
  </sheetViews>
  <sheetFormatPr defaultRowHeight="15" x14ac:dyDescent="0.2"/>
  <cols>
    <col min="1" max="1" width="12.9140625" bestFit="1" customWidth="1"/>
    <col min="2" max="2" width="11.703125" style="11" bestFit="1" customWidth="1"/>
    <col min="4" max="4" width="11.02734375" bestFit="1" customWidth="1"/>
  </cols>
  <sheetData>
    <row r="1" spans="1:5" x14ac:dyDescent="0.2">
      <c r="A1" s="9" t="s">
        <v>177</v>
      </c>
      <c r="B1" s="10" t="s">
        <v>178</v>
      </c>
      <c r="C1" s="9" t="s">
        <v>179</v>
      </c>
      <c r="D1" s="9" t="s">
        <v>180</v>
      </c>
      <c r="E1" s="9" t="s">
        <v>181</v>
      </c>
    </row>
    <row r="2" spans="1:5" x14ac:dyDescent="0.2">
      <c r="A2" t="s">
        <v>182</v>
      </c>
      <c r="B2" s="11" t="s">
        <v>185</v>
      </c>
      <c r="C2">
        <f>COUNTIF(ux_matrix!C:C,"PROM")</f>
        <v>16</v>
      </c>
      <c r="D2">
        <f>C2/COUNTA(ux_matrix!A2:A101)*100</f>
        <v>16</v>
      </c>
      <c r="E2" t="s">
        <v>203</v>
      </c>
    </row>
    <row r="3" spans="1:5" x14ac:dyDescent="0.2">
      <c r="A3" t="s">
        <v>183</v>
      </c>
      <c r="B3" s="11" t="s">
        <v>186</v>
      </c>
      <c r="C3">
        <f>COUNTIF(ux_matrix!C:C,"PASS")</f>
        <v>33</v>
      </c>
      <c r="D3">
        <f>C3/COUNTA(ux_matrix!A3:A102)*100</f>
        <v>33.333333333333329</v>
      </c>
      <c r="E3" t="s">
        <v>204</v>
      </c>
    </row>
    <row r="4" spans="1:5" x14ac:dyDescent="0.2">
      <c r="A4" t="s">
        <v>184</v>
      </c>
      <c r="B4" s="11" t="s">
        <v>187</v>
      </c>
      <c r="C4">
        <f>COUNTIF(ux_matrix!C:C,"DECTATOR")</f>
        <v>51</v>
      </c>
      <c r="D4">
        <f>C4/COUNTA(ux_matrix!A4:A103)*100</f>
        <v>52.040816326530617</v>
      </c>
      <c r="E4" t="s">
        <v>205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6845-7420-4E38-BBC1-A222347F2177}">
  <dimension ref="A1:C101"/>
  <sheetViews>
    <sheetView workbookViewId="0">
      <selection activeCell="C1" sqref="C1"/>
    </sheetView>
  </sheetViews>
  <sheetFormatPr defaultColWidth="12.9140625" defaultRowHeight="15" x14ac:dyDescent="0.2"/>
  <sheetData>
    <row r="1" spans="1:3" x14ac:dyDescent="0.2">
      <c r="A1" s="2" t="s">
        <v>41</v>
      </c>
      <c r="B1" s="7" t="s">
        <v>165</v>
      </c>
      <c r="C1" s="7" t="s">
        <v>188</v>
      </c>
    </row>
    <row r="2" spans="1:3" x14ac:dyDescent="0.2">
      <c r="A2" s="1" t="s">
        <v>63</v>
      </c>
      <c r="B2">
        <v>52.5</v>
      </c>
    </row>
    <row r="3" spans="1:3" x14ac:dyDescent="0.2">
      <c r="A3" s="1" t="s">
        <v>64</v>
      </c>
      <c r="B3">
        <v>50</v>
      </c>
    </row>
    <row r="4" spans="1:3" x14ac:dyDescent="0.2">
      <c r="A4" s="1" t="s">
        <v>65</v>
      </c>
      <c r="B4">
        <v>45</v>
      </c>
    </row>
    <row r="5" spans="1:3" x14ac:dyDescent="0.2">
      <c r="A5" s="1" t="s">
        <v>66</v>
      </c>
      <c r="B5">
        <v>57.5</v>
      </c>
    </row>
    <row r="6" spans="1:3" x14ac:dyDescent="0.2">
      <c r="A6" s="1" t="s">
        <v>67</v>
      </c>
      <c r="B6">
        <v>50</v>
      </c>
    </row>
    <row r="7" spans="1:3" x14ac:dyDescent="0.2">
      <c r="A7" s="1" t="s">
        <v>68</v>
      </c>
      <c r="B7">
        <v>45</v>
      </c>
    </row>
    <row r="8" spans="1:3" x14ac:dyDescent="0.2">
      <c r="A8" s="1" t="s">
        <v>69</v>
      </c>
      <c r="B8">
        <v>55</v>
      </c>
    </row>
    <row r="9" spans="1:3" x14ac:dyDescent="0.2">
      <c r="A9" s="1" t="s">
        <v>70</v>
      </c>
      <c r="B9">
        <v>45</v>
      </c>
    </row>
    <row r="10" spans="1:3" x14ac:dyDescent="0.2">
      <c r="A10" s="1" t="s">
        <v>71</v>
      </c>
      <c r="B10">
        <v>50</v>
      </c>
    </row>
    <row r="11" spans="1:3" x14ac:dyDescent="0.2">
      <c r="A11" s="1" t="s">
        <v>72</v>
      </c>
      <c r="B11">
        <v>60</v>
      </c>
    </row>
    <row r="12" spans="1:3" x14ac:dyDescent="0.2">
      <c r="A12" s="1" t="s">
        <v>73</v>
      </c>
      <c r="B12">
        <v>45</v>
      </c>
    </row>
    <row r="13" spans="1:3" x14ac:dyDescent="0.2">
      <c r="A13" s="1" t="s">
        <v>74</v>
      </c>
      <c r="B13">
        <v>40</v>
      </c>
    </row>
    <row r="14" spans="1:3" x14ac:dyDescent="0.2">
      <c r="A14" s="1" t="s">
        <v>75</v>
      </c>
      <c r="B14">
        <v>50</v>
      </c>
    </row>
    <row r="15" spans="1:3" x14ac:dyDescent="0.2">
      <c r="A15" s="1" t="s">
        <v>76</v>
      </c>
      <c r="B15">
        <v>57.5</v>
      </c>
    </row>
    <row r="16" spans="1:3" x14ac:dyDescent="0.2">
      <c r="A16" s="1" t="s">
        <v>77</v>
      </c>
      <c r="B16">
        <v>47.5</v>
      </c>
    </row>
    <row r="17" spans="1:2" x14ac:dyDescent="0.2">
      <c r="A17" s="1" t="s">
        <v>78</v>
      </c>
      <c r="B17">
        <v>55</v>
      </c>
    </row>
    <row r="18" spans="1:2" x14ac:dyDescent="0.2">
      <c r="A18" s="1" t="s">
        <v>79</v>
      </c>
      <c r="B18">
        <v>47.5</v>
      </c>
    </row>
    <row r="19" spans="1:2" x14ac:dyDescent="0.2">
      <c r="A19" s="1" t="s">
        <v>80</v>
      </c>
      <c r="B19">
        <v>55</v>
      </c>
    </row>
    <row r="20" spans="1:2" x14ac:dyDescent="0.2">
      <c r="A20" s="1" t="s">
        <v>81</v>
      </c>
      <c r="B20">
        <v>50</v>
      </c>
    </row>
    <row r="21" spans="1:2" x14ac:dyDescent="0.2">
      <c r="A21" s="1" t="s">
        <v>82</v>
      </c>
      <c r="B21">
        <v>47.5</v>
      </c>
    </row>
    <row r="22" spans="1:2" x14ac:dyDescent="0.2">
      <c r="A22" s="1" t="s">
        <v>83</v>
      </c>
      <c r="B22">
        <v>42.5</v>
      </c>
    </row>
    <row r="23" spans="1:2" x14ac:dyDescent="0.2">
      <c r="A23" s="1" t="s">
        <v>84</v>
      </c>
      <c r="B23">
        <v>42.5</v>
      </c>
    </row>
    <row r="24" spans="1:2" x14ac:dyDescent="0.2">
      <c r="A24" s="1" t="s">
        <v>85</v>
      </c>
      <c r="B24">
        <v>45</v>
      </c>
    </row>
    <row r="25" spans="1:2" x14ac:dyDescent="0.2">
      <c r="A25" s="1" t="s">
        <v>86</v>
      </c>
      <c r="B25">
        <v>55</v>
      </c>
    </row>
    <row r="26" spans="1:2" x14ac:dyDescent="0.2">
      <c r="A26" s="1" t="s">
        <v>87</v>
      </c>
      <c r="B26">
        <v>55</v>
      </c>
    </row>
    <row r="27" spans="1:2" x14ac:dyDescent="0.2">
      <c r="A27" s="1" t="s">
        <v>88</v>
      </c>
      <c r="B27">
        <v>55</v>
      </c>
    </row>
    <row r="28" spans="1:2" x14ac:dyDescent="0.2">
      <c r="A28" s="1" t="s">
        <v>89</v>
      </c>
      <c r="B28">
        <v>52.5</v>
      </c>
    </row>
    <row r="29" spans="1:2" x14ac:dyDescent="0.2">
      <c r="A29" s="1" t="s">
        <v>90</v>
      </c>
      <c r="B29">
        <v>45</v>
      </c>
    </row>
    <row r="30" spans="1:2" x14ac:dyDescent="0.2">
      <c r="A30" s="1" t="s">
        <v>91</v>
      </c>
      <c r="B30">
        <v>57.5</v>
      </c>
    </row>
    <row r="31" spans="1:2" x14ac:dyDescent="0.2">
      <c r="A31" s="1" t="s">
        <v>92</v>
      </c>
      <c r="B31">
        <v>52.5</v>
      </c>
    </row>
    <row r="32" spans="1:2" x14ac:dyDescent="0.2">
      <c r="A32" s="1" t="s">
        <v>93</v>
      </c>
      <c r="B32">
        <v>45</v>
      </c>
    </row>
    <row r="33" spans="1:2" x14ac:dyDescent="0.2">
      <c r="A33" s="1" t="s">
        <v>94</v>
      </c>
      <c r="B33">
        <v>50</v>
      </c>
    </row>
    <row r="34" spans="1:2" x14ac:dyDescent="0.2">
      <c r="A34" s="1" t="s">
        <v>95</v>
      </c>
      <c r="B34">
        <v>52.5</v>
      </c>
    </row>
    <row r="35" spans="1:2" x14ac:dyDescent="0.2">
      <c r="A35" s="1" t="s">
        <v>96</v>
      </c>
      <c r="B35">
        <v>50</v>
      </c>
    </row>
    <row r="36" spans="1:2" x14ac:dyDescent="0.2">
      <c r="A36" s="1" t="s">
        <v>97</v>
      </c>
      <c r="B36">
        <v>52.5</v>
      </c>
    </row>
    <row r="37" spans="1:2" x14ac:dyDescent="0.2">
      <c r="A37" s="1" t="s">
        <v>98</v>
      </c>
      <c r="B37">
        <v>45</v>
      </c>
    </row>
    <row r="38" spans="1:2" x14ac:dyDescent="0.2">
      <c r="A38" s="1" t="s">
        <v>99</v>
      </c>
      <c r="B38">
        <v>55</v>
      </c>
    </row>
    <row r="39" spans="1:2" x14ac:dyDescent="0.2">
      <c r="A39" s="1" t="s">
        <v>100</v>
      </c>
      <c r="B39">
        <v>55</v>
      </c>
    </row>
    <row r="40" spans="1:2" x14ac:dyDescent="0.2">
      <c r="A40" s="1" t="s">
        <v>101</v>
      </c>
      <c r="B40">
        <v>55</v>
      </c>
    </row>
    <row r="41" spans="1:2" x14ac:dyDescent="0.2">
      <c r="A41" s="1" t="s">
        <v>102</v>
      </c>
      <c r="B41">
        <v>42.5</v>
      </c>
    </row>
    <row r="42" spans="1:2" x14ac:dyDescent="0.2">
      <c r="A42" s="1" t="s">
        <v>103</v>
      </c>
      <c r="B42">
        <v>50</v>
      </c>
    </row>
    <row r="43" spans="1:2" x14ac:dyDescent="0.2">
      <c r="A43" s="1" t="s">
        <v>104</v>
      </c>
      <c r="B43">
        <v>45</v>
      </c>
    </row>
    <row r="44" spans="1:2" x14ac:dyDescent="0.2">
      <c r="A44" s="1" t="s">
        <v>105</v>
      </c>
      <c r="B44">
        <v>50</v>
      </c>
    </row>
    <row r="45" spans="1:2" x14ac:dyDescent="0.2">
      <c r="A45" s="1" t="s">
        <v>106</v>
      </c>
      <c r="B45">
        <v>55</v>
      </c>
    </row>
    <row r="46" spans="1:2" x14ac:dyDescent="0.2">
      <c r="A46" s="1" t="s">
        <v>107</v>
      </c>
      <c r="B46">
        <v>57.5</v>
      </c>
    </row>
    <row r="47" spans="1:2" x14ac:dyDescent="0.2">
      <c r="A47" s="1" t="s">
        <v>108</v>
      </c>
      <c r="B47">
        <v>50</v>
      </c>
    </row>
    <row r="48" spans="1:2" x14ac:dyDescent="0.2">
      <c r="A48" s="1" t="s">
        <v>109</v>
      </c>
      <c r="B48">
        <v>47.5</v>
      </c>
    </row>
    <row r="49" spans="1:2" x14ac:dyDescent="0.2">
      <c r="A49" s="1" t="s">
        <v>110</v>
      </c>
      <c r="B49">
        <v>50</v>
      </c>
    </row>
    <row r="50" spans="1:2" x14ac:dyDescent="0.2">
      <c r="A50" s="1" t="s">
        <v>111</v>
      </c>
      <c r="B50">
        <v>50</v>
      </c>
    </row>
    <row r="51" spans="1:2" x14ac:dyDescent="0.2">
      <c r="A51" s="1" t="s">
        <v>112</v>
      </c>
      <c r="B51">
        <v>57.5</v>
      </c>
    </row>
    <row r="52" spans="1:2" x14ac:dyDescent="0.2">
      <c r="A52" s="1" t="s">
        <v>113</v>
      </c>
      <c r="B52">
        <v>50</v>
      </c>
    </row>
    <row r="53" spans="1:2" x14ac:dyDescent="0.2">
      <c r="A53" s="1" t="s">
        <v>114</v>
      </c>
      <c r="B53">
        <v>52.5</v>
      </c>
    </row>
    <row r="54" spans="1:2" x14ac:dyDescent="0.2">
      <c r="A54" s="1" t="s">
        <v>115</v>
      </c>
      <c r="B54">
        <v>57.5</v>
      </c>
    </row>
    <row r="55" spans="1:2" x14ac:dyDescent="0.2">
      <c r="A55" s="1" t="s">
        <v>116</v>
      </c>
      <c r="B55">
        <v>47.5</v>
      </c>
    </row>
    <row r="56" spans="1:2" x14ac:dyDescent="0.2">
      <c r="A56" s="1" t="s">
        <v>117</v>
      </c>
      <c r="B56">
        <v>52.5</v>
      </c>
    </row>
    <row r="57" spans="1:2" x14ac:dyDescent="0.2">
      <c r="A57" s="1" t="s">
        <v>118</v>
      </c>
      <c r="B57">
        <v>45</v>
      </c>
    </row>
    <row r="58" spans="1:2" x14ac:dyDescent="0.2">
      <c r="A58" s="1" t="s">
        <v>119</v>
      </c>
      <c r="B58">
        <v>45</v>
      </c>
    </row>
    <row r="59" spans="1:2" x14ac:dyDescent="0.2">
      <c r="A59" s="1" t="s">
        <v>120</v>
      </c>
      <c r="B59">
        <v>47.5</v>
      </c>
    </row>
    <row r="60" spans="1:2" x14ac:dyDescent="0.2">
      <c r="A60" s="1" t="s">
        <v>121</v>
      </c>
      <c r="B60">
        <v>57.5</v>
      </c>
    </row>
    <row r="61" spans="1:2" x14ac:dyDescent="0.2">
      <c r="A61" s="1" t="s">
        <v>122</v>
      </c>
      <c r="B61">
        <v>55</v>
      </c>
    </row>
    <row r="62" spans="1:2" x14ac:dyDescent="0.2">
      <c r="A62" s="1" t="s">
        <v>123</v>
      </c>
      <c r="B62">
        <v>42.5</v>
      </c>
    </row>
    <row r="63" spans="1:2" x14ac:dyDescent="0.2">
      <c r="A63" s="1" t="s">
        <v>124</v>
      </c>
      <c r="B63">
        <v>55</v>
      </c>
    </row>
    <row r="64" spans="1:2" x14ac:dyDescent="0.2">
      <c r="A64" s="1" t="s">
        <v>125</v>
      </c>
      <c r="B64">
        <v>42.5</v>
      </c>
    </row>
    <row r="65" spans="1:2" x14ac:dyDescent="0.2">
      <c r="A65" s="1" t="s">
        <v>126</v>
      </c>
      <c r="B65">
        <v>45</v>
      </c>
    </row>
    <row r="66" spans="1:2" x14ac:dyDescent="0.2">
      <c r="A66" s="1" t="s">
        <v>127</v>
      </c>
      <c r="B66">
        <v>52.5</v>
      </c>
    </row>
    <row r="67" spans="1:2" x14ac:dyDescent="0.2">
      <c r="A67" s="1" t="s">
        <v>128</v>
      </c>
      <c r="B67">
        <v>42.5</v>
      </c>
    </row>
    <row r="68" spans="1:2" x14ac:dyDescent="0.2">
      <c r="A68" s="1" t="s">
        <v>129</v>
      </c>
      <c r="B68">
        <v>45</v>
      </c>
    </row>
    <row r="69" spans="1:2" x14ac:dyDescent="0.2">
      <c r="A69" s="1" t="s">
        <v>130</v>
      </c>
      <c r="B69">
        <v>55</v>
      </c>
    </row>
    <row r="70" spans="1:2" x14ac:dyDescent="0.2">
      <c r="A70" s="1" t="s">
        <v>131</v>
      </c>
      <c r="B70">
        <v>50</v>
      </c>
    </row>
    <row r="71" spans="1:2" x14ac:dyDescent="0.2">
      <c r="A71" s="1" t="s">
        <v>132</v>
      </c>
      <c r="B71">
        <v>50</v>
      </c>
    </row>
    <row r="72" spans="1:2" x14ac:dyDescent="0.2">
      <c r="A72" s="1" t="s">
        <v>133</v>
      </c>
      <c r="B72">
        <v>37.5</v>
      </c>
    </row>
    <row r="73" spans="1:2" x14ac:dyDescent="0.2">
      <c r="A73" s="1" t="s">
        <v>134</v>
      </c>
      <c r="B73">
        <v>52.5</v>
      </c>
    </row>
    <row r="74" spans="1:2" x14ac:dyDescent="0.2">
      <c r="A74" s="1" t="s">
        <v>135</v>
      </c>
      <c r="B74">
        <v>50</v>
      </c>
    </row>
    <row r="75" spans="1:2" x14ac:dyDescent="0.2">
      <c r="A75" s="1" t="s">
        <v>136</v>
      </c>
      <c r="B75">
        <v>52.5</v>
      </c>
    </row>
    <row r="76" spans="1:2" x14ac:dyDescent="0.2">
      <c r="A76" s="1" t="s">
        <v>137</v>
      </c>
      <c r="B76">
        <v>47.5</v>
      </c>
    </row>
    <row r="77" spans="1:2" x14ac:dyDescent="0.2">
      <c r="A77" s="1" t="s">
        <v>138</v>
      </c>
      <c r="B77">
        <v>55</v>
      </c>
    </row>
    <row r="78" spans="1:2" x14ac:dyDescent="0.2">
      <c r="A78" s="1" t="s">
        <v>139</v>
      </c>
      <c r="B78">
        <v>45</v>
      </c>
    </row>
    <row r="79" spans="1:2" x14ac:dyDescent="0.2">
      <c r="A79" s="1" t="s">
        <v>140</v>
      </c>
      <c r="B79">
        <v>45</v>
      </c>
    </row>
    <row r="80" spans="1:2" x14ac:dyDescent="0.2">
      <c r="A80" s="1" t="s">
        <v>141</v>
      </c>
      <c r="B80">
        <v>42.5</v>
      </c>
    </row>
    <row r="81" spans="1:2" x14ac:dyDescent="0.2">
      <c r="A81" s="1" t="s">
        <v>142</v>
      </c>
      <c r="B81">
        <v>50</v>
      </c>
    </row>
    <row r="82" spans="1:2" x14ac:dyDescent="0.2">
      <c r="A82" s="1" t="s">
        <v>143</v>
      </c>
      <c r="B82">
        <v>55</v>
      </c>
    </row>
    <row r="83" spans="1:2" x14ac:dyDescent="0.2">
      <c r="A83" s="1" t="s">
        <v>144</v>
      </c>
      <c r="B83">
        <v>55</v>
      </c>
    </row>
    <row r="84" spans="1:2" x14ac:dyDescent="0.2">
      <c r="A84" s="1" t="s">
        <v>145</v>
      </c>
      <c r="B84">
        <v>47.5</v>
      </c>
    </row>
    <row r="85" spans="1:2" x14ac:dyDescent="0.2">
      <c r="A85" s="1" t="s">
        <v>146</v>
      </c>
      <c r="B85">
        <v>57.5</v>
      </c>
    </row>
    <row r="86" spans="1:2" x14ac:dyDescent="0.2">
      <c r="A86" s="1" t="s">
        <v>147</v>
      </c>
      <c r="B86">
        <v>50</v>
      </c>
    </row>
    <row r="87" spans="1:2" x14ac:dyDescent="0.2">
      <c r="A87" s="1" t="s">
        <v>148</v>
      </c>
      <c r="B87">
        <v>57.5</v>
      </c>
    </row>
    <row r="88" spans="1:2" x14ac:dyDescent="0.2">
      <c r="A88" s="1" t="s">
        <v>149</v>
      </c>
      <c r="B88">
        <v>40</v>
      </c>
    </row>
    <row r="89" spans="1:2" x14ac:dyDescent="0.2">
      <c r="A89" s="1" t="s">
        <v>150</v>
      </c>
      <c r="B89">
        <v>50</v>
      </c>
    </row>
    <row r="90" spans="1:2" x14ac:dyDescent="0.2">
      <c r="A90" s="1" t="s">
        <v>151</v>
      </c>
      <c r="B90">
        <v>35</v>
      </c>
    </row>
    <row r="91" spans="1:2" x14ac:dyDescent="0.2">
      <c r="A91" s="1" t="s">
        <v>152</v>
      </c>
      <c r="B91">
        <v>55</v>
      </c>
    </row>
    <row r="92" spans="1:2" x14ac:dyDescent="0.2">
      <c r="A92" s="1" t="s">
        <v>153</v>
      </c>
      <c r="B92">
        <v>45</v>
      </c>
    </row>
    <row r="93" spans="1:2" x14ac:dyDescent="0.2">
      <c r="A93" s="1" t="s">
        <v>154</v>
      </c>
      <c r="B93">
        <v>47.5</v>
      </c>
    </row>
    <row r="94" spans="1:2" x14ac:dyDescent="0.2">
      <c r="A94" s="1" t="s">
        <v>155</v>
      </c>
      <c r="B94">
        <v>50</v>
      </c>
    </row>
    <row r="95" spans="1:2" x14ac:dyDescent="0.2">
      <c r="A95" s="1" t="s">
        <v>156</v>
      </c>
      <c r="B95">
        <v>55</v>
      </c>
    </row>
    <row r="96" spans="1:2" x14ac:dyDescent="0.2">
      <c r="A96" s="1" t="s">
        <v>157</v>
      </c>
      <c r="B96">
        <v>60</v>
      </c>
    </row>
    <row r="97" spans="1:2" x14ac:dyDescent="0.2">
      <c r="A97" s="1" t="s">
        <v>158</v>
      </c>
      <c r="B97">
        <v>57.5</v>
      </c>
    </row>
    <row r="98" spans="1:2" x14ac:dyDescent="0.2">
      <c r="A98" s="1" t="s">
        <v>159</v>
      </c>
      <c r="B98">
        <v>42.5</v>
      </c>
    </row>
    <row r="99" spans="1:2" x14ac:dyDescent="0.2">
      <c r="A99" s="1" t="s">
        <v>160</v>
      </c>
      <c r="B99">
        <v>52.5</v>
      </c>
    </row>
    <row r="100" spans="1:2" x14ac:dyDescent="0.2">
      <c r="A100" s="1" t="s">
        <v>161</v>
      </c>
      <c r="B100">
        <v>45</v>
      </c>
    </row>
    <row r="101" spans="1:2" x14ac:dyDescent="0.2">
      <c r="A101" s="1" t="s">
        <v>162</v>
      </c>
      <c r="B101">
        <v>60</v>
      </c>
    </row>
  </sheetData>
  <conditionalFormatting sqref="B1:B1048576">
    <cfRule type="colorScale" priority="1">
      <colorScale>
        <cfvo type="min"/>
        <cfvo type="max"/>
        <color theme="4"/>
        <color rgb="FFFCFCFF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B999-2131-4A09-8DBD-A5EB4952290A}">
  <dimension ref="A1:D5"/>
  <sheetViews>
    <sheetView workbookViewId="0">
      <selection activeCell="D10" sqref="D10"/>
    </sheetView>
  </sheetViews>
  <sheetFormatPr defaultRowHeight="15" x14ac:dyDescent="0.2"/>
  <cols>
    <col min="1" max="1" width="14.66015625" bestFit="1" customWidth="1"/>
    <col min="2" max="2" width="8.33984375" bestFit="1" customWidth="1"/>
    <col min="3" max="3" width="11.43359375" bestFit="1" customWidth="1"/>
    <col min="4" max="4" width="29.19140625" bestFit="1" customWidth="1"/>
  </cols>
  <sheetData>
    <row r="1" spans="1:4" x14ac:dyDescent="0.2">
      <c r="A1" s="9" t="s">
        <v>189</v>
      </c>
      <c r="B1" s="9" t="s">
        <v>190</v>
      </c>
      <c r="C1" s="9" t="s">
        <v>191</v>
      </c>
      <c r="D1" s="9" t="s">
        <v>192</v>
      </c>
    </row>
    <row r="2" spans="1:4" x14ac:dyDescent="0.2">
      <c r="A2" t="s">
        <v>19</v>
      </c>
      <c r="B2" s="12">
        <f>AVERAGE(ux_matrix!R2:R101)</f>
        <v>4.04</v>
      </c>
      <c r="C2" t="s">
        <v>196</v>
      </c>
      <c r="D2" t="s">
        <v>199</v>
      </c>
    </row>
    <row r="3" spans="1:4" x14ac:dyDescent="0.2">
      <c r="A3" t="s">
        <v>193</v>
      </c>
      <c r="B3">
        <f>AVERAGE(ux_matrix!V2:V101)</f>
        <v>9.92</v>
      </c>
      <c r="C3" t="s">
        <v>197</v>
      </c>
      <c r="D3" t="s">
        <v>200</v>
      </c>
    </row>
    <row r="4" spans="1:4" x14ac:dyDescent="0.2">
      <c r="A4" t="s">
        <v>194</v>
      </c>
      <c r="B4">
        <f>COUNTIF(ux_matrix!S2:S101,"LOW")/COUNTA(ux_matrix!A2:A101)*100</f>
        <v>32</v>
      </c>
      <c r="C4" t="s">
        <v>198</v>
      </c>
      <c r="D4" t="s">
        <v>201</v>
      </c>
    </row>
    <row r="5" spans="1:4" x14ac:dyDescent="0.2">
      <c r="A5" t="s">
        <v>195</v>
      </c>
      <c r="B5">
        <f>COUNTIF(ux_matrix!W2:W101,"GOOD")/COUNTA(ux_matrix!A2:A101)*100</f>
        <v>15</v>
      </c>
      <c r="C5" t="s">
        <v>198</v>
      </c>
      <c r="D5" t="s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B298-DF12-4FA6-8FC7-C72DD9FF0F5E}">
  <dimension ref="A1:C7"/>
  <sheetViews>
    <sheetView workbookViewId="0">
      <selection activeCell="A4" sqref="A4:B5"/>
    </sheetView>
  </sheetViews>
  <sheetFormatPr defaultRowHeight="15" x14ac:dyDescent="0.2"/>
  <cols>
    <col min="1" max="1" width="22.328125" bestFit="1" customWidth="1"/>
    <col min="2" max="2" width="22.1953125" customWidth="1"/>
    <col min="3" max="3" width="30.1328125" customWidth="1"/>
  </cols>
  <sheetData>
    <row r="1" spans="1:3" x14ac:dyDescent="0.2">
      <c r="A1" s="13" t="s">
        <v>206</v>
      </c>
      <c r="B1" s="13" t="s">
        <v>207</v>
      </c>
      <c r="C1" s="13" t="s">
        <v>208</v>
      </c>
    </row>
    <row r="2" spans="1:3" x14ac:dyDescent="0.2">
      <c r="A2" t="s">
        <v>209</v>
      </c>
      <c r="B2">
        <f>SUM(ux_matrix!Y2:Y101)</f>
        <v>473</v>
      </c>
      <c r="C2" t="s">
        <v>215</v>
      </c>
    </row>
    <row r="3" spans="1:3" x14ac:dyDescent="0.2">
      <c r="A3" t="s">
        <v>210</v>
      </c>
      <c r="B3">
        <f>SUM(ux_matrix!Z2:Z101)</f>
        <v>125</v>
      </c>
      <c r="C3" t="s">
        <v>216</v>
      </c>
    </row>
    <row r="4" spans="1:3" x14ac:dyDescent="0.2">
      <c r="A4" t="s">
        <v>211</v>
      </c>
      <c r="B4">
        <f>B3/B2*100</f>
        <v>26.427061310782239</v>
      </c>
      <c r="C4" t="s">
        <v>217</v>
      </c>
    </row>
    <row r="5" spans="1:3" x14ac:dyDescent="0.2">
      <c r="A5" t="s">
        <v>212</v>
      </c>
      <c r="B5">
        <f>AVERAGE(ux_matrix!AG2:AG101)*100</f>
        <v>83</v>
      </c>
      <c r="C5" t="s">
        <v>218</v>
      </c>
    </row>
    <row r="6" spans="1:3" x14ac:dyDescent="0.2">
      <c r="A6" t="s">
        <v>213</v>
      </c>
      <c r="B6">
        <f>AVERAGE(ux_matrix!Y2:Y101)</f>
        <v>4.7300000000000004</v>
      </c>
      <c r="C6" t="s">
        <v>219</v>
      </c>
    </row>
    <row r="7" spans="1:3" x14ac:dyDescent="0.2">
      <c r="A7" t="s">
        <v>214</v>
      </c>
      <c r="B7">
        <f>AVERAGE(ux_matrix!Z2:Z101)</f>
        <v>1.25</v>
      </c>
      <c r="C7" t="s">
        <v>220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C60A-8DE8-4DBE-BE5B-449C558F9A52}">
  <dimension ref="A1:K11"/>
  <sheetViews>
    <sheetView tabSelected="1" workbookViewId="0">
      <selection activeCell="K12" sqref="K12"/>
    </sheetView>
  </sheetViews>
  <sheetFormatPr defaultRowHeight="15" x14ac:dyDescent="0.2"/>
  <cols>
    <col min="1" max="1" width="11.97265625" bestFit="1" customWidth="1"/>
    <col min="2" max="2" width="14.796875" customWidth="1"/>
    <col min="3" max="3" width="15.6015625" customWidth="1"/>
    <col min="4" max="4" width="11.296875" customWidth="1"/>
    <col min="5" max="5" width="9.953125" customWidth="1"/>
    <col min="6" max="6" width="10.625" customWidth="1"/>
    <col min="7" max="7" width="11.1640625" customWidth="1"/>
    <col min="8" max="8" width="12.64453125" customWidth="1"/>
    <col min="9" max="9" width="13.85546875" customWidth="1"/>
    <col min="10" max="10" width="15.73828125" customWidth="1"/>
    <col min="11" max="11" width="18.16015625" customWidth="1"/>
  </cols>
  <sheetData>
    <row r="1" spans="1:11" x14ac:dyDescent="0.2">
      <c r="A1" t="s">
        <v>221</v>
      </c>
      <c r="B1" t="s">
        <v>13</v>
      </c>
      <c r="C1" t="s">
        <v>15</v>
      </c>
      <c r="D1" t="s">
        <v>17</v>
      </c>
      <c r="E1" t="s">
        <v>19</v>
      </c>
      <c r="F1" t="s">
        <v>21</v>
      </c>
      <c r="G1" t="s">
        <v>58</v>
      </c>
      <c r="H1" t="s">
        <v>59</v>
      </c>
      <c r="I1" t="s">
        <v>29</v>
      </c>
      <c r="J1" t="s">
        <v>31</v>
      </c>
      <c r="K1" t="s">
        <v>33</v>
      </c>
    </row>
    <row r="2" spans="1:11" x14ac:dyDescent="0.2">
      <c r="A2" t="s">
        <v>13</v>
      </c>
      <c r="B2">
        <f>CORREL(ux_matrix!B2:B101,ux_matrix!B2:B101)</f>
        <v>0.99999999999999978</v>
      </c>
      <c r="C2">
        <f>CORREL(ux_matrix!B2:B101,ux_matrix!D2:D101)</f>
        <v>0.72198705574950006</v>
      </c>
      <c r="D2">
        <f>CORREL(ux_matrix!B2:B101,ux_matrix!F2:F101)</f>
        <v>0.11986790270578865</v>
      </c>
      <c r="E2">
        <f>CORREL(ux_matrix!B2:B101,ux_matrix!R2:R101)</f>
        <v>-0.58445108288971259</v>
      </c>
      <c r="F2">
        <f>CORREL(ux_matrix!B2:B101,ux_matrix!V2:V101)</f>
        <v>-0.62639281057952501</v>
      </c>
      <c r="G2">
        <f>CORREL(ux_matrix!B2:B101,ux_matrix!Z2:Z101)</f>
        <v>-0.38781712973449023</v>
      </c>
      <c r="H2">
        <f>CORREL(ux_matrix!B2:B101,ux_matrix!AA2:AA101)</f>
        <v>0.62113944306971836</v>
      </c>
      <c r="I2">
        <f>CORREL(ux_matrix!B2:B101,ux_matrix!AC2:AC101)</f>
        <v>0.13888689275406313</v>
      </c>
      <c r="J2">
        <f>CORREL(ux_matrix!B2:B101,ux_matrix!AE2:AE101)</f>
        <v>0.21775096921662987</v>
      </c>
      <c r="K2">
        <f>CORREL(ux_matrix!B2:B101,ux_matrix!AG2:AG101)</f>
        <v>0.23866942729674437</v>
      </c>
    </row>
    <row r="3" spans="1:11" x14ac:dyDescent="0.2">
      <c r="A3" t="s">
        <v>15</v>
      </c>
      <c r="B3">
        <f>CORREL(ux_matrix!D2:D101,ux_matrix!B2:B101)</f>
        <v>0.72198705574950006</v>
      </c>
      <c r="C3">
        <f>CORREL(ux_matrix!D2:D101,ux_matrix!D2:D101)</f>
        <v>0.99999999999999989</v>
      </c>
      <c r="D3">
        <f>CORREL(ux_matrix!D2:D101,ux_matrix!F2:F101)</f>
        <v>3.1558007504812552E-2</v>
      </c>
      <c r="E3">
        <f>CORREL(ux_matrix!D2:D101,ux_matrix!R2:R101)</f>
        <v>-0.52178441812861698</v>
      </c>
      <c r="F3">
        <f>CORREL(ux_matrix!D2:D101,ux_matrix!V2:V101)</f>
        <v>-0.61928423003791278</v>
      </c>
      <c r="G3">
        <f>CORREL(ux_matrix!D2:D101,ux_matrix!Z2:Z101)</f>
        <v>-0.26307401970850086</v>
      </c>
      <c r="H3">
        <f>CORREL(ux_matrix!D2:D101,ux_matrix!AA2:AA101)</f>
        <v>0.54946097573628594</v>
      </c>
      <c r="I3">
        <f>CORREL(ux_matrix!D2:D101,ux_matrix!AC2:AC101)</f>
        <v>0.14205656589305946</v>
      </c>
      <c r="J3">
        <f>CORREL(ux_matrix!D2:D101,ux_matrix!AE2:AE101)</f>
        <v>0.17096735790378442</v>
      </c>
      <c r="K3">
        <f>CORREL(ux_matrix!D2:D101,ux_matrix!AG2:AG101)</f>
        <v>0.15787608528727751</v>
      </c>
    </row>
    <row r="4" spans="1:11" x14ac:dyDescent="0.2">
      <c r="A4" t="s">
        <v>17</v>
      </c>
      <c r="B4">
        <f>CORREL(ux_matrix!F2:F101,ux_matrix!B2:B101)</f>
        <v>0.11986790270578865</v>
      </c>
      <c r="C4">
        <f>CORREL(ux_matrix!F2:F101,ux_matrix!D2:D101)</f>
        <v>3.1558007504812552E-2</v>
      </c>
      <c r="D4">
        <f>CORREL(ux_matrix!F2:F101,ux_matrix!F2:F101)</f>
        <v>1</v>
      </c>
      <c r="E4">
        <f>CORREL(ux_matrix!F2:F101,ux_matrix!R2:R101)</f>
        <v>-1.169153884789108E-2</v>
      </c>
      <c r="F4">
        <f>CORREL(ux_matrix!F2:F101,ux_matrix!V2:V101)</f>
        <v>-2.6696398275656574E-2</v>
      </c>
      <c r="G4">
        <f>CORREL(ux_matrix!F2:F101,ux_matrix!Z2:Z101)</f>
        <v>-4.3695763691841034E-2</v>
      </c>
      <c r="H4">
        <f>CORREL(ux_matrix!F2:F101,ux_matrix!AA2:AA101)</f>
        <v>0.1219994080866358</v>
      </c>
      <c r="I4">
        <f>CORREL(ux_matrix!F2:F101,ux_matrix!AC2:AC101)</f>
        <v>6.5328441815936285E-3</v>
      </c>
      <c r="J4">
        <f>CORREL(ux_matrix!F2:F101,ux_matrix!AE2:AE101)</f>
        <v>0.21033694155875543</v>
      </c>
      <c r="K4">
        <f>CORREL(ux_matrix!F2:F101,ux_matrix!AG2:AG101)</f>
        <v>-1.8436330298240839E-2</v>
      </c>
    </row>
    <row r="5" spans="1:11" x14ac:dyDescent="0.2">
      <c r="A5" t="s">
        <v>19</v>
      </c>
      <c r="B5">
        <f>CORREL(ux_matrix!R2:R101,ux_matrix!B2:B101)</f>
        <v>-0.58445108288971259</v>
      </c>
      <c r="C5">
        <f>CORREL(ux_matrix!R2:R101,ux_matrix!D2:D101)</f>
        <v>-0.52178441812861698</v>
      </c>
      <c r="D5">
        <f>CORREL(ux_matrix!R2:R101,ux_matrix!F2:F101)</f>
        <v>-1.169153884789108E-2</v>
      </c>
      <c r="E5">
        <f>CORREL(ux_matrix!R2:R101,ux_matrix!R2:R101)</f>
        <v>0.99999999999999989</v>
      </c>
      <c r="F5">
        <f>CORREL(ux_matrix!R2:R101,ux_matrix!V2:V101)</f>
        <v>0.53449615329784139</v>
      </c>
      <c r="G5">
        <f>CORREL(ux_matrix!R2:R101,ux_matrix!Z2:Z101)</f>
        <v>0.38074856520662448</v>
      </c>
      <c r="H5">
        <f>CORREL(ux_matrix!R2:R101,ux_matrix!AA2:AA101)</f>
        <v>-0.31689528400377631</v>
      </c>
      <c r="I5">
        <f>CORREL(ux_matrix!R2:R101,ux_matrix!AC2:AC101)</f>
        <v>-0.19474672448892277</v>
      </c>
      <c r="J5">
        <f>CORREL(ux_matrix!R2:R101,ux_matrix!AE2:AE101)</f>
        <v>-0.13527629289172141</v>
      </c>
      <c r="K5">
        <f>CORREL(ux_matrix!R2:R101,ux_matrix!AG2:AG101)</f>
        <v>-0.11418616568402014</v>
      </c>
    </row>
    <row r="6" spans="1:11" x14ac:dyDescent="0.2">
      <c r="A6" t="s">
        <v>21</v>
      </c>
      <c r="B6">
        <f>CORREL(ux_matrix!V2:V101,ux_matrix!B2:B101)</f>
        <v>-0.62639281057952501</v>
      </c>
      <c r="C6">
        <f>CORREL(ux_matrix!V2:V101,ux_matrix!D2:D101)</f>
        <v>-0.61928423003791278</v>
      </c>
      <c r="D6">
        <f>CORREL(ux_matrix!V2:V101,ux_matrix!F2:F101)</f>
        <v>-2.6696398275656574E-2</v>
      </c>
      <c r="E6">
        <f>CORREL(ux_matrix!V2:V101,ux_matrix!R2:R101)</f>
        <v>0.53449615329784139</v>
      </c>
      <c r="F6">
        <f>CORREL(ux_matrix!V2:V101,ux_matrix!V2:V101)</f>
        <v>1.0000000000000002</v>
      </c>
      <c r="G6">
        <f>CORREL(ux_matrix!V2:V101,ux_matrix!Z2:Z101)</f>
        <v>0.23204980515946302</v>
      </c>
      <c r="H6">
        <f>CORREL(ux_matrix!V2:V101,ux_matrix!AA2:AA101)</f>
        <v>-0.4937139291389267</v>
      </c>
      <c r="I6">
        <f>CORREL(ux_matrix!V2:V101,ux_matrix!AC2:AC101)</f>
        <v>-0.12443332260256212</v>
      </c>
      <c r="J6">
        <f>CORREL(ux_matrix!V2:V101,ux_matrix!AE2:AE101)</f>
        <v>-5.0525542563348541E-2</v>
      </c>
      <c r="K6">
        <f>CORREL(ux_matrix!V2:V101,ux_matrix!AG2:AG101)</f>
        <v>-0.15053616149408328</v>
      </c>
    </row>
    <row r="7" spans="1:11" x14ac:dyDescent="0.2">
      <c r="A7" t="s">
        <v>222</v>
      </c>
      <c r="B7">
        <f>CORREL(ux_matrix!Z2:Z101,ux_matrix!B2:B101)</f>
        <v>-0.38781712973449023</v>
      </c>
      <c r="C7">
        <f>CORREL(ux_matrix!Z2:Z101,ux_matrix!D2:D101)</f>
        <v>-0.26307401970850086</v>
      </c>
      <c r="D7">
        <f>CORREL(ux_matrix!Z2:Z101,ux_matrix!F2:F101)</f>
        <v>-4.3695763691841034E-2</v>
      </c>
      <c r="E7">
        <f>CORREL(ux_matrix!Z2:Z101,ux_matrix!R2:R101)</f>
        <v>0.38074856520662448</v>
      </c>
      <c r="F7">
        <f>CORREL(ux_matrix!Z2:Z101,ux_matrix!V2:V101)</f>
        <v>0.23204980515946302</v>
      </c>
      <c r="G7">
        <f>CORREL(ux_matrix!Z2:Z101,ux_matrix!Z2:Z101)</f>
        <v>1</v>
      </c>
      <c r="H7">
        <f>CORREL(ux_matrix!Z2:Z101,ux_matrix!AA2:AA101)</f>
        <v>-0.31652441339661236</v>
      </c>
      <c r="I7">
        <f>CORREL(ux_matrix!Z2:Z101,ux_matrix!AC2:AC101)</f>
        <v>-0.17072504500628599</v>
      </c>
      <c r="J7">
        <f>CORREL(ux_matrix!Z2:Z101,ux_matrix!AE2:AE101)</f>
        <v>-0.15600111681728232</v>
      </c>
      <c r="K7">
        <f>CORREL(ux_matrix!Z2:Z101,ux_matrix!AG2:AG101)</f>
        <v>-0.133870069557359</v>
      </c>
    </row>
    <row r="8" spans="1:11" x14ac:dyDescent="0.2">
      <c r="A8" t="s">
        <v>59</v>
      </c>
      <c r="B8">
        <f>CORREL(ux_matrix!AA2:AA101,ux_matrix!B2:B101)</f>
        <v>0.62113944306971836</v>
      </c>
      <c r="C8">
        <f>CORREL(ux_matrix!AA2:AA101,ux_matrix!D2:D101)</f>
        <v>0.54946097573628594</v>
      </c>
      <c r="D8">
        <f>CORREL(ux_matrix!AA2:AA101,ux_matrix!F2:F101)</f>
        <v>0.1219994080866358</v>
      </c>
      <c r="E8">
        <f>CORREL(ux_matrix!AA2:AA101,ux_matrix!R2:R101)</f>
        <v>-0.31689528400377631</v>
      </c>
      <c r="F8">
        <f>CORREL(ux_matrix!AA2:AA101,ux_matrix!V2:V101)</f>
        <v>-0.4937139291389267</v>
      </c>
      <c r="G8">
        <f>CORREL(ux_matrix!AA2:AA101,ux_matrix!Z2:Z101)</f>
        <v>-0.31652441339661236</v>
      </c>
      <c r="H8">
        <f>CORREL(ux_matrix!AA2:AA101,ux_matrix!AA2:AA101)</f>
        <v>1.0000000000000002</v>
      </c>
      <c r="I8">
        <f>CORREL(ux_matrix!AA2:AA101,ux_matrix!AC2:AC101)</f>
        <v>0.17961031410457853</v>
      </c>
      <c r="J8">
        <f>CORREL(ux_matrix!AA2:AA101,ux_matrix!AE2:AE101)</f>
        <v>0.21794913788613229</v>
      </c>
      <c r="K8">
        <f>CORREL(ux_matrix!AA2:AA101,ux_matrix!AG2:AG101)</f>
        <v>0.13147210987743679</v>
      </c>
    </row>
    <row r="9" spans="1:11" x14ac:dyDescent="0.2">
      <c r="A9" t="s">
        <v>29</v>
      </c>
      <c r="B9">
        <f>CORREL(ux_matrix!AC2:AC101,ux_matrix!B2:B101)</f>
        <v>0.13888689275406313</v>
      </c>
      <c r="C9">
        <f>CORREL(ux_matrix!AC2:AC101,ux_matrix!D2:D101)</f>
        <v>0.14205656589305946</v>
      </c>
      <c r="D9">
        <f>CORREL(ux_matrix!AC2:AC101,ux_matrix!F2:F101)</f>
        <v>6.5328441815936285E-3</v>
      </c>
      <c r="E9">
        <f>CORREL(ux_matrix!AC2:AC101,ux_matrix!R2:R101)</f>
        <v>-0.19474672448892277</v>
      </c>
      <c r="F9">
        <f>CORREL(ux_matrix!AC2:AC101,ux_matrix!V2:V101)</f>
        <v>-0.12443332260256212</v>
      </c>
      <c r="G9">
        <f>CORREL(ux_matrix!AC2:AC101,ux_matrix!Z2:Z101)</f>
        <v>-0.17072504500628599</v>
      </c>
      <c r="H9">
        <f>CORREL(ux_matrix!AC2:AC101,ux_matrix!AA2:AA101)</f>
        <v>0.17961031410457853</v>
      </c>
      <c r="I9">
        <f>CORREL(ux_matrix!AC2:AC101,ux_matrix!AC2:AC101)</f>
        <v>0.99999999999999978</v>
      </c>
      <c r="J9">
        <f>CORREL(ux_matrix!AC2:AC101,ux_matrix!AE2:AE101)</f>
        <v>2.3637455234388101E-2</v>
      </c>
      <c r="K9">
        <f>CORREL(ux_matrix!AC2:AC101,ux_matrix!AG2:AG101)</f>
        <v>-7.3451248070631206E-2</v>
      </c>
    </row>
    <row r="10" spans="1:11" x14ac:dyDescent="0.2">
      <c r="A10" t="s">
        <v>31</v>
      </c>
      <c r="B10">
        <f>CORREL(ux_matrix!AE2:AE101,ux_matrix!B2:B101)</f>
        <v>0.21775096921662987</v>
      </c>
      <c r="C10">
        <f>CORREL(ux_matrix!AE2:AE101,ux_matrix!D2:D101)</f>
        <v>0.17096735790378442</v>
      </c>
      <c r="D10">
        <f>CORREL(ux_matrix!AE2:AE101,ux_matrix!F2:F101)</f>
        <v>0.21033694155875543</v>
      </c>
      <c r="E10">
        <f>CORREL(ux_matrix!AE2:AE101,ux_matrix!R2:R101)</f>
        <v>-0.13527629289172141</v>
      </c>
      <c r="F10">
        <f>CORREL(ux_matrix!AE2:AE101,ux_matrix!V2:V101)</f>
        <v>-5.0525542563348541E-2</v>
      </c>
      <c r="G10">
        <f>CORREL(ux_matrix!AE2:AE101,ux_matrix!Z2:Z101)</f>
        <v>-0.15600111681728232</v>
      </c>
      <c r="H10">
        <f>CORREL(ux_matrix!AE2:AE101,ux_matrix!AA2:AA101)</f>
        <v>0.21794913788613229</v>
      </c>
      <c r="I10">
        <f>CORREL(ux_matrix!AE2:AE101,ux_matrix!AC2:AC101)</f>
        <v>2.3637455234388101E-2</v>
      </c>
      <c r="J10">
        <f>CORREL(ux_matrix!AE2:AE101,ux_matrix!AE2:AE101)</f>
        <v>1</v>
      </c>
      <c r="K10">
        <f>CORREL(ux_matrix!AE2:AE101,ux_matrix!AG2:AG101)</f>
        <v>4.2019798062704769E-2</v>
      </c>
    </row>
    <row r="11" spans="1:11" x14ac:dyDescent="0.2">
      <c r="A11" t="s">
        <v>33</v>
      </c>
      <c r="B11">
        <f>CORREL(ux_matrix!AG2:AG101,ux_matrix!B2:B101)</f>
        <v>0.23866942729674437</v>
      </c>
      <c r="C11">
        <f>CORREL(ux_matrix!AG2:AG101,ux_matrix!D2:D101)</f>
        <v>0.15787608528727751</v>
      </c>
      <c r="D11">
        <f>CORREL(ux_matrix!AG2:AG101,ux_matrix!F2:F101)</f>
        <v>-1.8436330298240839E-2</v>
      </c>
      <c r="E11">
        <f>CORREL(ux_matrix!AG2:AG101,ux_matrix!R2:R101)</f>
        <v>-0.11418616568402014</v>
      </c>
      <c r="F11">
        <f>CORREL(ux_matrix!AG2:AG101,ux_matrix!V2:V101)</f>
        <v>-0.15053616149408328</v>
      </c>
      <c r="G11">
        <f>CORREL(ux_matrix!AG2:AG101,ux_matrix!Z2:Z101)</f>
        <v>-0.133870069557359</v>
      </c>
      <c r="H11">
        <f>CORREL(ux_matrix!AG2:AG101,ux_matrix!AA2:AA101)</f>
        <v>0.13147210987743679</v>
      </c>
      <c r="I11">
        <f>CORREL(ux_matrix!AG2:AG101,ux_matrix!AC2:AC101)</f>
        <v>-7.3451248070631206E-2</v>
      </c>
      <c r="J11">
        <f>CORREL(ux_matrix!AG2:AG101,ux_matrix!AE2:AE101)</f>
        <v>4.2019798062704769E-2</v>
      </c>
      <c r="K11">
        <f>CORREL(ux_matrix!AG2:AG101,ux_matrix!AG2:AG101)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Raw_Data</vt:lpstr>
      <vt:lpstr>ux_matrix</vt:lpstr>
      <vt:lpstr>NPS_ANALYSIS</vt:lpstr>
      <vt:lpstr>Sus_analysis</vt:lpstr>
      <vt:lpstr>CES_TTFV</vt:lpstr>
      <vt:lpstr>Task_analysis</vt:lpstr>
      <vt:lpstr>Corelation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Patil</dc:creator>
  <cp:lastModifiedBy>VIVEK KUMAR YADAV</cp:lastModifiedBy>
  <dcterms:created xsi:type="dcterms:W3CDTF">2026-08-10T10:01:30Z</dcterms:created>
  <dcterms:modified xsi:type="dcterms:W3CDTF">2026-08-19T12:10:57Z</dcterms:modified>
</cp:coreProperties>
</file>